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40" yWindow="75" windowWidth="18600" windowHeight="9735" tabRatio="548" firstSheet="3" activeTab="9"/>
  </bookViews>
  <sheets>
    <sheet name="(h) e to R" sheetId="1" r:id="rId1"/>
    <sheet name="(h) e to H" sheetId="6" r:id="rId2"/>
    <sheet name="(h) e to T" sheetId="7" r:id="rId3"/>
    <sheet name="high data" sheetId="3" r:id="rId4"/>
    <sheet name="ellips" sheetId="5" r:id="rId5"/>
    <sheet name="low range to time" sheetId="4" r:id="rId6"/>
    <sheet name="low low" sheetId="2" r:id="rId7"/>
    <sheet name="high flow" sheetId="8" r:id="rId8"/>
    <sheet name="(h) r To T" sheetId="9" r:id="rId9"/>
    <sheet name="Sheet1" sheetId="10" r:id="rId10"/>
  </sheets>
  <calcPr calcId="124519"/>
</workbook>
</file>

<file path=xl/calcChain.xml><?xml version="1.0" encoding="utf-8"?>
<calcChain xmlns="http://schemas.openxmlformats.org/spreadsheetml/2006/main">
  <c r="K34" i="9"/>
  <c r="F28"/>
  <c r="G28" s="1"/>
  <c r="F29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F49"/>
  <c r="G49" s="1"/>
  <c r="F50"/>
  <c r="G50" s="1"/>
  <c r="F51"/>
  <c r="G51" s="1"/>
  <c r="F52"/>
  <c r="G52" s="1"/>
  <c r="F53"/>
  <c r="G53" s="1"/>
  <c r="F54"/>
  <c r="G54" s="1"/>
  <c r="F55"/>
  <c r="G55" s="1"/>
  <c r="F56"/>
  <c r="G56" s="1"/>
  <c r="F57"/>
  <c r="G57" s="1"/>
  <c r="G27"/>
  <c r="F27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4"/>
  <c r="G29" i="4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28"/>
  <c r="F97" i="1"/>
  <c r="G97" s="1"/>
  <c r="F96"/>
  <c r="G96" s="1"/>
  <c r="F95"/>
  <c r="G95" s="1"/>
  <c r="F94"/>
  <c r="G94" s="1"/>
  <c r="F93"/>
  <c r="G93" s="1"/>
  <c r="F92"/>
  <c r="G92" s="1"/>
  <c r="F91"/>
  <c r="G91" s="1"/>
  <c r="F90"/>
  <c r="G90" s="1"/>
  <c r="F89"/>
  <c r="G89" s="1"/>
  <c r="F88"/>
  <c r="G88" s="1"/>
  <c r="F87"/>
  <c r="G87" s="1"/>
  <c r="F86"/>
  <c r="G86" s="1"/>
  <c r="F85"/>
  <c r="G85" s="1"/>
  <c r="F84"/>
  <c r="G84" s="1"/>
  <c r="F83"/>
  <c r="G83" s="1"/>
  <c r="F82"/>
  <c r="G82" s="1"/>
  <c r="F81"/>
  <c r="G81" s="1"/>
  <c r="F80"/>
  <c r="G80" s="1"/>
  <c r="F79"/>
  <c r="G79" s="1"/>
  <c r="F78"/>
  <c r="G78" s="1"/>
  <c r="F77"/>
  <c r="G77" s="1"/>
  <c r="E37" i="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36"/>
  <c r="C5" i="4"/>
  <c r="C6"/>
  <c r="C7"/>
  <c r="C8"/>
  <c r="C9"/>
  <c r="C10"/>
  <c r="C11"/>
  <c r="C12"/>
  <c r="C13"/>
  <c r="C14"/>
  <c r="C15"/>
  <c r="C16"/>
  <c r="C17"/>
  <c r="C18"/>
  <c r="C19"/>
  <c r="C20"/>
  <c r="C21"/>
  <c r="C4"/>
  <c r="G6"/>
  <c r="G7"/>
  <c r="G8"/>
  <c r="G9"/>
  <c r="G10"/>
  <c r="G11"/>
  <c r="G12"/>
  <c r="G13"/>
  <c r="G14"/>
  <c r="G15"/>
  <c r="G16"/>
  <c r="G17"/>
  <c r="G18"/>
  <c r="G19"/>
  <c r="G20"/>
  <c r="G21"/>
  <c r="G5"/>
  <c r="G25" i="7" l="1"/>
  <c r="G24"/>
  <c r="G23"/>
  <c r="G22"/>
  <c r="G21"/>
  <c r="G20"/>
  <c r="G19"/>
  <c r="G18"/>
  <c r="G17"/>
  <c r="G16"/>
  <c r="G15"/>
  <c r="G14"/>
  <c r="G13"/>
  <c r="G12"/>
  <c r="G11"/>
  <c r="G10"/>
  <c r="G9"/>
  <c r="G8"/>
  <c r="F49" i="6" l="1"/>
  <c r="G49" s="1"/>
  <c r="F48"/>
  <c r="G48" s="1"/>
  <c r="F47"/>
  <c r="G47" s="1"/>
  <c r="F46"/>
  <c r="G46" s="1"/>
  <c r="F45"/>
  <c r="G45" s="1"/>
  <c r="F44"/>
  <c r="G44" s="1"/>
  <c r="F43"/>
  <c r="G43" s="1"/>
  <c r="F42"/>
  <c r="G42" s="1"/>
  <c r="F41"/>
  <c r="G41" s="1"/>
  <c r="F40"/>
  <c r="G40" s="1"/>
  <c r="F39"/>
  <c r="G39" s="1"/>
  <c r="F38"/>
  <c r="G38" s="1"/>
  <c r="F37"/>
  <c r="G37" s="1"/>
  <c r="F36"/>
  <c r="G36" s="1"/>
  <c r="F35"/>
  <c r="G35" s="1"/>
  <c r="F34"/>
  <c r="G34" s="1"/>
  <c r="F33"/>
  <c r="G33" s="1"/>
  <c r="F32"/>
  <c r="G32" s="1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F7" i="3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6"/>
  <c r="I27" i="5"/>
  <c r="J27" s="1"/>
  <c r="G27"/>
  <c r="I26"/>
  <c r="J26" s="1"/>
  <c r="G26"/>
  <c r="I25"/>
  <c r="J25" s="1"/>
  <c r="G25"/>
  <c r="I24"/>
  <c r="J24" s="1"/>
  <c r="G24"/>
  <c r="I23"/>
  <c r="J23" s="1"/>
  <c r="G23"/>
  <c r="I22"/>
  <c r="J22" s="1"/>
  <c r="G22"/>
  <c r="I21"/>
  <c r="J21" s="1"/>
  <c r="G21"/>
  <c r="I20"/>
  <c r="J20" s="1"/>
  <c r="G20"/>
  <c r="I19"/>
  <c r="J19" s="1"/>
  <c r="G19"/>
  <c r="I18"/>
  <c r="J18" s="1"/>
  <c r="G18"/>
  <c r="I17"/>
  <c r="J17" s="1"/>
  <c r="G17"/>
  <c r="I16"/>
  <c r="J16" s="1"/>
  <c r="G16"/>
  <c r="I15"/>
  <c r="J15" s="1"/>
  <c r="G15"/>
  <c r="I14"/>
  <c r="J14" s="1"/>
  <c r="G14"/>
  <c r="I13"/>
  <c r="J13" s="1"/>
  <c r="G13"/>
  <c r="I12"/>
  <c r="J12" s="1"/>
  <c r="G12"/>
  <c r="I11"/>
  <c r="J11" s="1"/>
  <c r="G11"/>
  <c r="I10"/>
  <c r="J10" s="1"/>
  <c r="G10"/>
  <c r="I9"/>
  <c r="J9" s="1"/>
  <c r="G9"/>
  <c r="I8"/>
  <c r="J8" s="1"/>
  <c r="G8"/>
  <c r="I7"/>
  <c r="J7" s="1"/>
  <c r="G7"/>
  <c r="F28" i="1"/>
  <c r="G28" s="1"/>
  <c r="A6" i="2"/>
  <c r="D6" s="1"/>
  <c r="F75"/>
  <c r="G75" s="1"/>
  <c r="H75" s="1"/>
  <c r="F60"/>
  <c r="G60" s="1"/>
  <c r="H60" s="1"/>
  <c r="F61"/>
  <c r="G61" s="1"/>
  <c r="H61" s="1"/>
  <c r="F62"/>
  <c r="G62" s="1"/>
  <c r="H62" s="1"/>
  <c r="F63"/>
  <c r="G63" s="1"/>
  <c r="H63" s="1"/>
  <c r="F64"/>
  <c r="G64" s="1"/>
  <c r="H64" s="1"/>
  <c r="F65"/>
  <c r="G65" s="1"/>
  <c r="H65" s="1"/>
  <c r="F66"/>
  <c r="G66" s="1"/>
  <c r="H66" s="1"/>
  <c r="F67"/>
  <c r="G67" s="1"/>
  <c r="H67" s="1"/>
  <c r="F68"/>
  <c r="G68" s="1"/>
  <c r="H68" s="1"/>
  <c r="F69"/>
  <c r="G69" s="1"/>
  <c r="H69" s="1"/>
  <c r="F70"/>
  <c r="G70" s="1"/>
  <c r="H70" s="1"/>
  <c r="F71"/>
  <c r="G71" s="1"/>
  <c r="H71" s="1"/>
  <c r="F72"/>
  <c r="G72" s="1"/>
  <c r="H72" s="1"/>
  <c r="F73"/>
  <c r="G73" s="1"/>
  <c r="H73" s="1"/>
  <c r="F74"/>
  <c r="G74" s="1"/>
  <c r="H74" s="1"/>
  <c r="F59"/>
  <c r="G59" s="1"/>
  <c r="H59" s="1"/>
  <c r="D43"/>
  <c r="D28"/>
  <c r="D29"/>
  <c r="D30"/>
  <c r="D31"/>
  <c r="D32"/>
  <c r="D33"/>
  <c r="D34"/>
  <c r="D35"/>
  <c r="D36"/>
  <c r="D37"/>
  <c r="D38"/>
  <c r="D39"/>
  <c r="D40"/>
  <c r="D41"/>
  <c r="D42"/>
  <c r="D27"/>
  <c r="F29" i="1"/>
  <c r="G29" s="1"/>
  <c r="F30"/>
  <c r="G30" s="1"/>
  <c r="F31"/>
  <c r="G31" s="1"/>
  <c r="F32"/>
  <c r="G32" s="1"/>
  <c r="F33"/>
  <c r="G33" s="1"/>
  <c r="F34"/>
  <c r="G34" s="1"/>
  <c r="F35"/>
  <c r="G35" s="1"/>
  <c r="F36"/>
  <c r="G36" s="1"/>
  <c r="F37"/>
  <c r="G37" s="1"/>
  <c r="F38"/>
  <c r="G38" s="1"/>
  <c r="F39"/>
  <c r="G39" s="1"/>
  <c r="F40"/>
  <c r="G40" s="1"/>
  <c r="F41"/>
  <c r="G41" s="1"/>
  <c r="F42"/>
  <c r="G42" s="1"/>
  <c r="F43"/>
  <c r="G43" s="1"/>
  <c r="F44"/>
  <c r="G44" s="1"/>
  <c r="F45"/>
  <c r="G45" s="1"/>
  <c r="F46"/>
  <c r="G46" s="1"/>
  <c r="F47"/>
  <c r="G47" s="1"/>
  <c r="F48"/>
  <c r="G48" s="1"/>
  <c r="E55"/>
  <c r="F55" s="1"/>
  <c r="E56"/>
  <c r="F56" s="1"/>
  <c r="E57"/>
  <c r="F57" s="1"/>
  <c r="E58"/>
  <c r="F58" s="1"/>
  <c r="E59"/>
  <c r="E60"/>
  <c r="F60" s="1"/>
  <c r="E61"/>
  <c r="F61" s="1"/>
  <c r="E62"/>
  <c r="F62" s="1"/>
  <c r="E63"/>
  <c r="E64"/>
  <c r="F64" s="1"/>
  <c r="E65"/>
  <c r="F65" s="1"/>
  <c r="E66"/>
  <c r="F66" s="1"/>
  <c r="E67"/>
  <c r="E68"/>
  <c r="F68" s="1"/>
  <c r="E69"/>
  <c r="F69" s="1"/>
  <c r="E70"/>
  <c r="F70" s="1"/>
  <c r="E71"/>
  <c r="F59"/>
  <c r="F63"/>
  <c r="F67"/>
  <c r="F71"/>
  <c r="A7" i="2"/>
  <c r="D7" s="1"/>
  <c r="A8"/>
  <c r="D8" s="1"/>
  <c r="A9"/>
  <c r="D9" s="1"/>
  <c r="A10"/>
  <c r="D10" s="1"/>
  <c r="A11"/>
  <c r="D11" s="1"/>
  <c r="A12"/>
  <c r="D12" s="1"/>
  <c r="A13"/>
  <c r="D13" s="1"/>
  <c r="A14"/>
  <c r="D14" s="1"/>
  <c r="A15"/>
  <c r="D15" s="1"/>
  <c r="A16"/>
  <c r="D16" s="1"/>
  <c r="A17"/>
  <c r="D17" s="1"/>
  <c r="A18"/>
  <c r="D18" s="1"/>
  <c r="A19"/>
  <c r="D19" s="1"/>
  <c r="A20"/>
  <c r="D20" s="1"/>
  <c r="A21"/>
  <c r="D21" s="1"/>
  <c r="A5"/>
  <c r="D5" s="1"/>
  <c r="D4" i="1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E72"/>
  <c r="F72" s="1"/>
</calcChain>
</file>

<file path=xl/sharedStrings.xml><?xml version="1.0" encoding="utf-8"?>
<sst xmlns="http://schemas.openxmlformats.org/spreadsheetml/2006/main" count="112" uniqueCount="93">
  <si>
    <t>Height (ft)</t>
  </si>
  <si>
    <t>sudut</t>
  </si>
  <si>
    <t>meter</t>
  </si>
  <si>
    <t>DM</t>
  </si>
  <si>
    <t>Original Data</t>
  </si>
  <si>
    <t>height (meter)</t>
  </si>
  <si>
    <t xml:space="preserve">R² = 0.999894749 </t>
  </si>
  <si>
    <r>
      <t>y = -2.665269695x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+ 19.1354017x - 0.046825845</t>
    </r>
  </si>
  <si>
    <t>SIN 2a</t>
  </si>
  <si>
    <t>jarak(km)</t>
  </si>
  <si>
    <t>sudut HIGH</t>
  </si>
  <si>
    <t>sudut LOW</t>
  </si>
  <si>
    <t>max height</t>
  </si>
  <si>
    <t>y = 2.947601528x2 + 13.72305254x - 5.486492431</t>
  </si>
  <si>
    <t>time</t>
  </si>
  <si>
    <t>max x</t>
  </si>
  <si>
    <t>maxy</t>
  </si>
  <si>
    <t>kuadrat</t>
  </si>
  <si>
    <t>elips</t>
  </si>
  <si>
    <t>Vr</t>
  </si>
  <si>
    <t>K = 2πb + 4(a - b)</t>
  </si>
  <si>
    <t>kilo meter</t>
  </si>
  <si>
    <t>sudut (LOW)</t>
  </si>
  <si>
    <t>jarak km</t>
  </si>
  <si>
    <t>(Sigmoid)?? (1-cos)?</t>
  </si>
  <si>
    <t>tertinggi</t>
  </si>
  <si>
    <t>elevasi</t>
  </si>
  <si>
    <t>sin a</t>
  </si>
  <si>
    <r>
      <t>y = 8.14147922x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+ 2.542982055x - 0.054807126</t>
    </r>
  </si>
  <si>
    <t xml:space="preserve">R² = 0.999729589 </t>
  </si>
  <si>
    <t>d = (4.0 *a *y + (b*b) - 4.0 *a *c)</t>
  </si>
  <si>
    <t>x = (-b + sqrt(d)) / (2 *a)</t>
  </si>
  <si>
    <t>a</t>
  </si>
  <si>
    <t>b</t>
  </si>
  <si>
    <t>c</t>
  </si>
  <si>
    <t>d</t>
  </si>
  <si>
    <t>x</t>
  </si>
  <si>
    <t>sin 2a</t>
  </si>
  <si>
    <t>y</t>
  </si>
  <si>
    <t>x= sin(a)</t>
  </si>
  <si>
    <t>x = sin (2a)</t>
  </si>
  <si>
    <t>sudut(HIGH)</t>
  </si>
  <si>
    <t>sudut (a)</t>
  </si>
  <si>
    <t>waktu</t>
  </si>
  <si>
    <t>jarak</t>
  </si>
  <si>
    <t>interpolated</t>
  </si>
  <si>
    <r>
      <t>y = -0.010709204x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+ 2.143751228x - 8.319353207</t>
    </r>
  </si>
  <si>
    <t xml:space="preserve">R² = 0.999838654 </t>
  </si>
  <si>
    <t>tes interpolasi: sudut -&gt; jarak max</t>
  </si>
  <si>
    <t>tes interpolasi: sudut -&gt; max heigt</t>
  </si>
  <si>
    <t>t</t>
  </si>
  <si>
    <t>Elevation To maxTime</t>
  </si>
  <si>
    <t>y = -0.02907127x3 + 0.383275697x2 + 0.861348954x - 0.129575272</t>
  </si>
  <si>
    <t>R² = 0.999573187</t>
  </si>
  <si>
    <t>x= sqrt(t)</t>
  </si>
  <si>
    <t>Time To Range</t>
  </si>
  <si>
    <t>Range To Time</t>
  </si>
  <si>
    <t>y = 0.000633297x3 - 0.015931548x2 + 0.534878524x + 0.565785555</t>
  </si>
  <si>
    <t>R² = 0.99976804</t>
  </si>
  <si>
    <t>range</t>
  </si>
  <si>
    <t>y = -0.028601502x2 + 0.630486822x + 5.911782749</t>
  </si>
  <si>
    <t>R² = 0.997905009</t>
  </si>
  <si>
    <t>time (s)</t>
  </si>
  <si>
    <t>y = -2.8601501872351300E-02x2 + 6.3048682162565600E-01x + 5.9117827493119300E+00</t>
  </si>
  <si>
    <t>R² = 9.9790500914331900E-01</t>
  </si>
  <si>
    <t>tLo</t>
  </si>
  <si>
    <t>tHi</t>
  </si>
  <si>
    <t>tReal</t>
  </si>
  <si>
    <t>rangemax</t>
  </si>
  <si>
    <t>height</t>
  </si>
  <si>
    <t>heightMax</t>
  </si>
  <si>
    <t>deg</t>
  </si>
  <si>
    <t>max range</t>
  </si>
  <si>
    <t>max time</t>
  </si>
  <si>
    <t>Failed</t>
  </si>
  <si>
    <t>17,87.8,2841.0,4659.0,02.9</t>
  </si>
  <si>
    <t>16,84.8,2497.2,5002.8,03.0</t>
  </si>
  <si>
    <t>15,81.8,2058.7,5441.3,03.0</t>
  </si>
  <si>
    <t>14,78.9,1522.6,5977.4,03.0</t>
  </si>
  <si>
    <t>13,75.9,886.8,6613.2,03.0</t>
  </si>
  <si>
    <t>12,72.9,149.7,7350.3,03.0</t>
  </si>
  <si>
    <t>11,69.9,-689.9,8189.9,03.0</t>
  </si>
  <si>
    <t>10,66.9,-1632.8,9132.8,03.0</t>
  </si>
  <si>
    <t>9,63.9,-2679.0,10179.0,03.0</t>
  </si>
  <si>
    <t>8,60.9,-3827.6,11327.6,03.0</t>
  </si>
  <si>
    <t>7,57.9,-5075.7,12575.7,03.0</t>
  </si>
  <si>
    <t>6,54.9,-6418.2,13918.2,03.0</t>
  </si>
  <si>
    <t>5,51.9,-7845.4,15345.4,03.0</t>
  </si>
  <si>
    <t>4,48.9,-9341.1,16841.1,03.0</t>
  </si>
  <si>
    <t>3,45.9,-10878.4,18378.4,03.0</t>
  </si>
  <si>
    <t>2,42.9,-12412.7,19912.7,03.0</t>
  </si>
  <si>
    <t>1,39.9,-13870.2,21370.2,03.0</t>
  </si>
  <si>
    <t>0,36.9,-15127.1,22627.1,03.0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</si>
</sst>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rgb="FF333333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 readingOrder="1"/>
    </xf>
    <xf numFmtId="0" fontId="0" fillId="2" borderId="0" xfId="0" applyFill="1"/>
    <xf numFmtId="0" fontId="0" fillId="0" borderId="0" xfId="0" quotePrefix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0" fillId="5" borderId="0" xfId="0" applyFont="1" applyFill="1"/>
    <xf numFmtId="0" fontId="10" fillId="2" borderId="0" xfId="0" applyFont="1" applyFill="1"/>
    <xf numFmtId="0" fontId="11" fillId="2" borderId="0" xfId="0" applyFont="1" applyFill="1"/>
    <xf numFmtId="0" fontId="0" fillId="6" borderId="0" xfId="0" applyFill="1"/>
    <xf numFmtId="0" fontId="10" fillId="7" borderId="0" xfId="0" applyFont="1" applyFill="1"/>
    <xf numFmtId="0" fontId="11" fillId="7" borderId="0" xfId="0" applyFont="1" applyFill="1"/>
    <xf numFmtId="0" fontId="12" fillId="7" borderId="0" xfId="0" applyFont="1" applyFill="1"/>
    <xf numFmtId="0" fontId="8" fillId="6" borderId="0" xfId="0" applyFont="1" applyFill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0" fillId="10" borderId="0" xfId="0" applyFont="1" applyFill="1"/>
    <xf numFmtId="0" fontId="11" fillId="10" borderId="0" xfId="0" applyFont="1" applyFill="1"/>
    <xf numFmtId="0" fontId="12" fillId="10" borderId="0" xfId="0" quotePrefix="1" applyFont="1" applyFill="1"/>
    <xf numFmtId="0" fontId="0" fillId="0" borderId="0" xfId="0" applyFill="1"/>
    <xf numFmtId="0" fontId="13" fillId="0" borderId="0" xfId="0" applyFont="1"/>
    <xf numFmtId="0" fontId="7" fillId="0" borderId="0" xfId="0" applyFont="1" applyFill="1"/>
    <xf numFmtId="0" fontId="14" fillId="0" borderId="0" xfId="0" applyFont="1"/>
    <xf numFmtId="0" fontId="0" fillId="1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data: jarak max -&gt; elevasi (HIGH)</a:t>
            </a:r>
          </a:p>
        </c:rich>
      </c:tx>
      <c:layout>
        <c:manualLayout>
          <c:xMode val="edge"/>
          <c:yMode val="edge"/>
          <c:x val="0.20725699912510975"/>
          <c:y val="4.6296296296296439E-2"/>
        </c:manualLayout>
      </c:layout>
    </c:title>
    <c:plotArea>
      <c:layout>
        <c:manualLayout>
          <c:layoutTarget val="inner"/>
          <c:xMode val="edge"/>
          <c:yMode val="edge"/>
          <c:x val="8.4488407699037621E-2"/>
          <c:y val="0.19480351414406533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4"/>
            <c:forward val="2"/>
            <c:backward val="2"/>
            <c:dispRSqr val="1"/>
            <c:dispEq val="1"/>
            <c:trendlineLbl>
              <c:layout>
                <c:manualLayout>
                  <c:x val="9.4444444444444525E-2"/>
                  <c:y val="0.13267279090113732"/>
                </c:manualLayout>
              </c:layout>
              <c:numFmt formatCode="@" sourceLinked="0"/>
            </c:trendlineLbl>
          </c:trendline>
          <c:xVal>
            <c:numRef>
              <c:f>'(h) e to R'!$D$4:$D$24</c:f>
              <c:numCache>
                <c:formatCode>General</c:formatCode>
                <c:ptCount val="21"/>
                <c:pt idx="0">
                  <c:v>12.070080000000001</c:v>
                </c:pt>
                <c:pt idx="1">
                  <c:v>12.25296</c:v>
                </c:pt>
                <c:pt idx="2">
                  <c:v>12.435840000000001</c:v>
                </c:pt>
                <c:pt idx="3">
                  <c:v>12.618720000000001</c:v>
                </c:pt>
                <c:pt idx="4">
                  <c:v>12.801600000000001</c:v>
                </c:pt>
                <c:pt idx="5">
                  <c:v>12.98448</c:v>
                </c:pt>
                <c:pt idx="6">
                  <c:v>13.16736</c:v>
                </c:pt>
                <c:pt idx="7">
                  <c:v>13.350239999999999</c:v>
                </c:pt>
                <c:pt idx="8">
                  <c:v>13.53312</c:v>
                </c:pt>
                <c:pt idx="9">
                  <c:v>13.716000000000001</c:v>
                </c:pt>
                <c:pt idx="10">
                  <c:v>13.89888</c:v>
                </c:pt>
                <c:pt idx="11">
                  <c:v>14.081760000000001</c:v>
                </c:pt>
                <c:pt idx="12">
                  <c:v>14.26464</c:v>
                </c:pt>
                <c:pt idx="13">
                  <c:v>14.447520000000001</c:v>
                </c:pt>
                <c:pt idx="14">
                  <c:v>14.6304</c:v>
                </c:pt>
                <c:pt idx="15">
                  <c:v>14.813279999999999</c:v>
                </c:pt>
                <c:pt idx="16">
                  <c:v>14.996159999999998</c:v>
                </c:pt>
                <c:pt idx="17">
                  <c:v>15.179040000000001</c:v>
                </c:pt>
                <c:pt idx="18">
                  <c:v>15.36192</c:v>
                </c:pt>
                <c:pt idx="19">
                  <c:v>15.5448</c:v>
                </c:pt>
                <c:pt idx="20">
                  <c:v>15.727679999999999</c:v>
                </c:pt>
              </c:numCache>
            </c:numRef>
          </c:xVal>
          <c:yVal>
            <c:numRef>
              <c:f>'(h) e to R'!$E$4:$E$24</c:f>
              <c:numCache>
                <c:formatCode>General</c:formatCode>
                <c:ptCount val="21"/>
                <c:pt idx="0">
                  <c:v>67.8</c:v>
                </c:pt>
                <c:pt idx="1">
                  <c:v>67.2</c:v>
                </c:pt>
                <c:pt idx="2">
                  <c:v>66.7</c:v>
                </c:pt>
                <c:pt idx="3">
                  <c:v>66.2</c:v>
                </c:pt>
                <c:pt idx="4">
                  <c:v>65.7</c:v>
                </c:pt>
                <c:pt idx="5">
                  <c:v>65.2</c:v>
                </c:pt>
                <c:pt idx="6">
                  <c:v>64.599999999999994</c:v>
                </c:pt>
                <c:pt idx="7">
                  <c:v>64.099999999999994</c:v>
                </c:pt>
                <c:pt idx="8">
                  <c:v>63.5</c:v>
                </c:pt>
                <c:pt idx="9">
                  <c:v>62.9</c:v>
                </c:pt>
                <c:pt idx="10">
                  <c:v>62.3</c:v>
                </c:pt>
                <c:pt idx="11">
                  <c:v>61.7</c:v>
                </c:pt>
                <c:pt idx="12">
                  <c:v>61</c:v>
                </c:pt>
                <c:pt idx="13">
                  <c:v>60.3</c:v>
                </c:pt>
                <c:pt idx="14">
                  <c:v>59.6</c:v>
                </c:pt>
                <c:pt idx="15">
                  <c:v>58.8</c:v>
                </c:pt>
                <c:pt idx="16">
                  <c:v>58.1</c:v>
                </c:pt>
                <c:pt idx="17">
                  <c:v>57.2</c:v>
                </c:pt>
                <c:pt idx="18">
                  <c:v>56.2</c:v>
                </c:pt>
                <c:pt idx="19">
                  <c:v>55.2</c:v>
                </c:pt>
                <c:pt idx="20">
                  <c:v>54</c:v>
                </c:pt>
              </c:numCache>
            </c:numRef>
          </c:yVal>
        </c:ser>
        <c:axId val="78880768"/>
        <c:axId val="78882304"/>
      </c:scatterChart>
      <c:valAx>
        <c:axId val="78880768"/>
        <c:scaling>
          <c:orientation val="minMax"/>
          <c:max val="18"/>
          <c:min val="10"/>
        </c:scaling>
        <c:axPos val="b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accent2">
                    <a:lumMod val="75000"/>
                  </a:schemeClr>
                </a:solidFill>
              </a:defRPr>
            </a:pPr>
            <a:endParaRPr lang="en-US"/>
          </a:p>
        </c:txPr>
        <c:crossAx val="78882304"/>
        <c:crosses val="autoZero"/>
        <c:crossBetween val="midCat"/>
      </c:valAx>
      <c:valAx>
        <c:axId val="78882304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en-US"/>
          </a:p>
        </c:txPr>
        <c:crossAx val="78880768"/>
        <c:crosses val="autoZero"/>
        <c:crossBetween val="midCat"/>
      </c:valAx>
      <c:spPr>
        <a:solidFill>
          <a:schemeClr val="accent3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66408333333333525"/>
          <c:y val="0.21908172936716283"/>
          <c:w val="0.33313888888889087"/>
          <c:h val="0.20060950714494022"/>
        </c:manualLayout>
      </c:layout>
    </c:legend>
    <c:plotVisOnly val="1"/>
  </c:chart>
  <c:spPr>
    <a:solidFill>
      <a:schemeClr val="accent3">
        <a:lumMod val="40000"/>
        <a:lumOff val="60000"/>
      </a:schemeClr>
    </a:solidFill>
  </c:spPr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sin2a: </a:t>
            </a:r>
            <a:r>
              <a:rPr lang="en-US"/>
              <a:t>elevasi -&gt; jarak max (HIGH) </a:t>
            </a:r>
          </a:p>
        </c:rich>
      </c:tx>
      <c:layout>
        <c:manualLayout>
          <c:xMode val="edge"/>
          <c:yMode val="edge"/>
          <c:x val="0.21281255468066493"/>
          <c:y val="2.3148148148148147E-2"/>
        </c:manualLayout>
      </c:layout>
    </c:title>
    <c:plotArea>
      <c:layout>
        <c:manualLayout>
          <c:layoutTarget val="inner"/>
          <c:xMode val="edge"/>
          <c:yMode val="edge"/>
          <c:x val="8.0143702717440729E-2"/>
          <c:y val="0.19480347527544389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elevasi -&gt; jarak (HIGH)</c:v>
          </c:tx>
          <c:spPr>
            <a:ln w="28575">
              <a:noFill/>
            </a:ln>
          </c:spPr>
          <c:trendline>
            <c:trendlineType val="poly"/>
            <c:order val="2"/>
            <c:forward val="0.1"/>
            <c:backward val="0.1"/>
            <c:dispRSqr val="1"/>
            <c:dispEq val="1"/>
            <c:trendlineLbl>
              <c:layout>
                <c:manualLayout>
                  <c:x val="0.10879790026246719"/>
                  <c:y val="0.4117680081656469"/>
                </c:manualLayout>
              </c:layout>
              <c:numFmt formatCode="@" sourceLinked="0"/>
            </c:trendlineLbl>
          </c:trendline>
          <c:xVal>
            <c:numRef>
              <c:f>'(h) e to R'!$F$28:$F$48</c:f>
              <c:numCache>
                <c:formatCode>General</c:formatCode>
                <c:ptCount val="21"/>
                <c:pt idx="0">
                  <c:v>0.69966334051336565</c:v>
                </c:pt>
                <c:pt idx="1">
                  <c:v>0.71447267963280325</c:v>
                </c:pt>
                <c:pt idx="2">
                  <c:v>0.72657467097097594</c:v>
                </c:pt>
                <c:pt idx="3">
                  <c:v>0.7384553406258838</c:v>
                </c:pt>
                <c:pt idx="4">
                  <c:v>0.75011106963045937</c:v>
                </c:pt>
                <c:pt idx="5">
                  <c:v>0.76153830753673668</c:v>
                </c:pt>
                <c:pt idx="6">
                  <c:v>0.77494448870417987</c:v>
                </c:pt>
                <c:pt idx="7">
                  <c:v>0.78585689317540208</c:v>
                </c:pt>
                <c:pt idx="8">
                  <c:v>0.79863551004729272</c:v>
                </c:pt>
                <c:pt idx="9">
                  <c:v>0.81106381898932656</c:v>
                </c:pt>
                <c:pt idx="10">
                  <c:v>0.82313636853444205</c:v>
                </c:pt>
                <c:pt idx="11">
                  <c:v>0.83484786326340654</c:v>
                </c:pt>
                <c:pt idx="12">
                  <c:v>0.84804809615642607</c:v>
                </c:pt>
                <c:pt idx="13">
                  <c:v>0.86074202700394364</c:v>
                </c:pt>
                <c:pt idx="14">
                  <c:v>0.87292207726980953</c:v>
                </c:pt>
                <c:pt idx="15">
                  <c:v>0.88620357923121484</c:v>
                </c:pt>
                <c:pt idx="16">
                  <c:v>0.89725836967432848</c:v>
                </c:pt>
                <c:pt idx="17">
                  <c:v>0.91068366080617713</c:v>
                </c:pt>
                <c:pt idx="18">
                  <c:v>0.92454603361231313</c:v>
                </c:pt>
                <c:pt idx="19">
                  <c:v>0.93728198949189145</c:v>
                </c:pt>
                <c:pt idx="20">
                  <c:v>0.95105651629515364</c:v>
                </c:pt>
              </c:numCache>
            </c:numRef>
          </c:xVal>
          <c:yVal>
            <c:numRef>
              <c:f>'(h) e to R'!$E$28:$E$48</c:f>
              <c:numCache>
                <c:formatCode>General</c:formatCode>
                <c:ptCount val="21"/>
                <c:pt idx="0">
                  <c:v>12.070080000000001</c:v>
                </c:pt>
                <c:pt idx="1">
                  <c:v>12.25296</c:v>
                </c:pt>
                <c:pt idx="2">
                  <c:v>12.435840000000001</c:v>
                </c:pt>
                <c:pt idx="3">
                  <c:v>12.618720000000001</c:v>
                </c:pt>
                <c:pt idx="4">
                  <c:v>12.801600000000001</c:v>
                </c:pt>
                <c:pt idx="5">
                  <c:v>12.98448</c:v>
                </c:pt>
                <c:pt idx="6">
                  <c:v>13.16736</c:v>
                </c:pt>
                <c:pt idx="7">
                  <c:v>13.350239999999999</c:v>
                </c:pt>
                <c:pt idx="8">
                  <c:v>13.53312</c:v>
                </c:pt>
                <c:pt idx="9">
                  <c:v>13.716000000000001</c:v>
                </c:pt>
                <c:pt idx="10">
                  <c:v>13.89888</c:v>
                </c:pt>
                <c:pt idx="11">
                  <c:v>14.081760000000001</c:v>
                </c:pt>
                <c:pt idx="12">
                  <c:v>14.26464</c:v>
                </c:pt>
                <c:pt idx="13">
                  <c:v>14.447520000000001</c:v>
                </c:pt>
                <c:pt idx="14">
                  <c:v>14.6304</c:v>
                </c:pt>
                <c:pt idx="15">
                  <c:v>14.813279999999999</c:v>
                </c:pt>
                <c:pt idx="16">
                  <c:v>14.996159999999998</c:v>
                </c:pt>
                <c:pt idx="17">
                  <c:v>15.179040000000001</c:v>
                </c:pt>
                <c:pt idx="18">
                  <c:v>15.36192</c:v>
                </c:pt>
                <c:pt idx="19">
                  <c:v>15.5448</c:v>
                </c:pt>
                <c:pt idx="20">
                  <c:v>15.727679999999999</c:v>
                </c:pt>
              </c:numCache>
            </c:numRef>
          </c:yVal>
        </c:ser>
        <c:axId val="78903168"/>
        <c:axId val="78904704"/>
      </c:scatterChart>
      <c:valAx>
        <c:axId val="78903168"/>
        <c:scaling>
          <c:orientation val="minMax"/>
          <c:min val="0.60000000000000064"/>
        </c:scaling>
        <c:axPos val="b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accent6">
                    <a:lumMod val="75000"/>
                  </a:schemeClr>
                </a:solidFill>
              </a:defRPr>
            </a:pPr>
            <a:endParaRPr lang="en-US"/>
          </a:p>
        </c:txPr>
        <c:crossAx val="78904704"/>
        <c:crosses val="autoZero"/>
        <c:crossBetween val="midCat"/>
      </c:valAx>
      <c:valAx>
        <c:axId val="78904704"/>
        <c:scaling>
          <c:orientation val="minMax"/>
          <c:min val="10"/>
        </c:scaling>
        <c:axPos val="l"/>
        <c:majorGridlines/>
        <c:numFmt formatCode="General" sourceLinked="1"/>
        <c:tickLblPos val="nextTo"/>
        <c:crossAx val="78903168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</c:spPr>
    </c:plotArea>
    <c:legend>
      <c:legendPos val="r"/>
      <c:layout>
        <c:manualLayout>
          <c:xMode val="edge"/>
          <c:yMode val="edge"/>
          <c:x val="0.66686111111111279"/>
          <c:y val="0.20056321084864395"/>
          <c:w val="0.33313888888889104"/>
          <c:h val="0.27005395158938467"/>
        </c:manualLayout>
      </c:layout>
    </c:legend>
    <c:plotVisOnly val="1"/>
  </c:chart>
  <c:spPr>
    <a:solidFill>
      <a:schemeClr val="accent3">
        <a:lumMod val="20000"/>
        <a:lumOff val="80000"/>
      </a:schemeClr>
    </a:solidFill>
  </c:spPr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interpolasi:</a:t>
            </a:r>
            <a:r>
              <a:rPr lang="en-US" baseline="0"/>
              <a:t> </a:t>
            </a:r>
            <a:r>
              <a:rPr lang="en-US"/>
              <a:t>elevasi -&gt; jarak max (HIGH)</a:t>
            </a:r>
          </a:p>
        </c:rich>
      </c:tx>
      <c:layout>
        <c:manualLayout>
          <c:xMode val="edge"/>
          <c:yMode val="edge"/>
          <c:x val="0.21281255468066493"/>
          <c:y val="2.3148148148148147E-2"/>
        </c:manualLayout>
      </c:layout>
    </c:title>
    <c:plotArea>
      <c:layout>
        <c:manualLayout>
          <c:layoutTarget val="inner"/>
          <c:xMode val="edge"/>
          <c:yMode val="edge"/>
          <c:x val="8.4488414851757745E-2"/>
          <c:y val="0.2023363428573807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interpol tes</c:v>
          </c:tx>
          <c:spPr>
            <a:ln w="28575">
              <a:noFill/>
            </a:ln>
          </c:spPr>
          <c:trendline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</a:ln>
              <a:effectLst/>
            </c:spPr>
            <c:trendlineType val="poly"/>
            <c:order val="2"/>
            <c:backward val="45"/>
            <c:dispRSqr val="1"/>
            <c:dispEq val="1"/>
            <c:trendlineLbl>
              <c:layout>
                <c:manualLayout>
                  <c:x val="-0.1438260165486247"/>
                  <c:y val="-7.2976534253737999E-2"/>
                </c:manualLayout>
              </c:layout>
              <c:numFmt formatCode="@" sourceLinked="0"/>
            </c:trendlineLbl>
          </c:trendline>
          <c:xVal>
            <c:numRef>
              <c:f>'(h) e to R'!$D$55:$D$72</c:f>
              <c:numCache>
                <c:formatCode>General</c:formatCode>
                <c:ptCount val="18"/>
                <c:pt idx="0">
                  <c:v>45</c:v>
                </c:pt>
                <c:pt idx="1">
                  <c:v>47.5</c:v>
                </c:pt>
                <c:pt idx="2">
                  <c:v>50</c:v>
                </c:pt>
                <c:pt idx="3">
                  <c:v>52.5</c:v>
                </c:pt>
                <c:pt idx="4">
                  <c:v>55</c:v>
                </c:pt>
                <c:pt idx="5">
                  <c:v>57.5</c:v>
                </c:pt>
                <c:pt idx="6">
                  <c:v>60</c:v>
                </c:pt>
                <c:pt idx="7">
                  <c:v>62.5</c:v>
                </c:pt>
                <c:pt idx="8">
                  <c:v>65</c:v>
                </c:pt>
                <c:pt idx="9">
                  <c:v>67.5</c:v>
                </c:pt>
                <c:pt idx="10">
                  <c:v>70</c:v>
                </c:pt>
                <c:pt idx="11">
                  <c:v>72.5</c:v>
                </c:pt>
                <c:pt idx="12">
                  <c:v>75</c:v>
                </c:pt>
                <c:pt idx="13">
                  <c:v>77.5</c:v>
                </c:pt>
                <c:pt idx="14">
                  <c:v>80</c:v>
                </c:pt>
                <c:pt idx="15">
                  <c:v>82.5</c:v>
                </c:pt>
                <c:pt idx="16">
                  <c:v>85</c:v>
                </c:pt>
                <c:pt idx="17">
                  <c:v>87.5</c:v>
                </c:pt>
              </c:numCache>
            </c:numRef>
          </c:xVal>
          <c:yVal>
            <c:numRef>
              <c:f>'(h) e to R'!$F$55:$F$72</c:f>
              <c:numCache>
                <c:formatCode>General</c:formatCode>
                <c:ptCount val="18"/>
                <c:pt idx="0">
                  <c:v>16.423306159999999</c:v>
                </c:pt>
                <c:pt idx="1">
                  <c:v>16.370735897143533</c:v>
                </c:pt>
                <c:pt idx="2">
                  <c:v>16.212964126265081</c:v>
                </c:pt>
                <c:pt idx="3">
                  <c:v>15.949822374042338</c:v>
                </c:pt>
                <c:pt idx="4">
                  <c:v>15.581077561130042</c:v>
                </c:pt>
                <c:pt idx="5">
                  <c:v>15.106501708074838</c:v>
                </c:pt>
                <c:pt idx="6">
                  <c:v>14.525965867569933</c:v>
                </c:pt>
                <c:pt idx="7">
                  <c:v>13.839554766803316</c:v>
                </c:pt>
                <c:pt idx="8">
                  <c:v>13.047697833870622</c:v>
                </c:pt>
                <c:pt idx="9">
                  <c:v>12.15131161029859</c:v>
                </c:pt>
                <c:pt idx="10">
                  <c:v>11.151948039398563</c:v>
                </c:pt>
                <c:pt idx="11">
                  <c:v>10.051942784274477</c:v>
                </c:pt>
                <c:pt idx="12">
                  <c:v>8.8545575812499973</c:v>
                </c:pt>
                <c:pt idx="13">
                  <c:v>7.5641106798735365</c:v>
                </c:pt>
                <c:pt idx="14">
                  <c:v>6.1860896591623291</c:v>
                </c:pt>
                <c:pt idx="15">
                  <c:v>4.7272413350505582</c:v>
                </c:pt>
                <c:pt idx="16">
                  <c:v>3.1956340740275841</c:v>
                </c:pt>
                <c:pt idx="17">
                  <c:v>1.6006885851905428</c:v>
                </c:pt>
              </c:numCache>
            </c:numRef>
          </c:yVal>
        </c:ser>
        <c:ser>
          <c:idx val="1"/>
          <c:order val="1"/>
          <c:tx>
            <c:v>ori data HIGH</c:v>
          </c:tx>
          <c:spPr>
            <a:ln w="28575">
              <a:noFill/>
            </a:ln>
          </c:spPr>
          <c:xVal>
            <c:numRef>
              <c:f>'(h) e to R'!$D$28:$D$48</c:f>
              <c:numCache>
                <c:formatCode>General</c:formatCode>
                <c:ptCount val="21"/>
                <c:pt idx="0">
                  <c:v>67.8</c:v>
                </c:pt>
                <c:pt idx="1">
                  <c:v>67.2</c:v>
                </c:pt>
                <c:pt idx="2">
                  <c:v>66.7</c:v>
                </c:pt>
                <c:pt idx="3">
                  <c:v>66.2</c:v>
                </c:pt>
                <c:pt idx="4">
                  <c:v>65.7</c:v>
                </c:pt>
                <c:pt idx="5">
                  <c:v>65.2</c:v>
                </c:pt>
                <c:pt idx="6">
                  <c:v>64.599999999999994</c:v>
                </c:pt>
                <c:pt idx="7">
                  <c:v>64.099999999999994</c:v>
                </c:pt>
                <c:pt idx="8">
                  <c:v>63.5</c:v>
                </c:pt>
                <c:pt idx="9">
                  <c:v>62.9</c:v>
                </c:pt>
                <c:pt idx="10">
                  <c:v>62.3</c:v>
                </c:pt>
                <c:pt idx="11">
                  <c:v>61.7</c:v>
                </c:pt>
                <c:pt idx="12">
                  <c:v>61</c:v>
                </c:pt>
                <c:pt idx="13">
                  <c:v>60.3</c:v>
                </c:pt>
                <c:pt idx="14">
                  <c:v>59.6</c:v>
                </c:pt>
                <c:pt idx="15">
                  <c:v>58.8</c:v>
                </c:pt>
                <c:pt idx="16">
                  <c:v>58.1</c:v>
                </c:pt>
                <c:pt idx="17">
                  <c:v>57.2</c:v>
                </c:pt>
                <c:pt idx="18">
                  <c:v>56.2</c:v>
                </c:pt>
                <c:pt idx="19">
                  <c:v>55.2</c:v>
                </c:pt>
                <c:pt idx="20">
                  <c:v>54</c:v>
                </c:pt>
              </c:numCache>
            </c:numRef>
          </c:xVal>
          <c:yVal>
            <c:numRef>
              <c:f>'(h) e to R'!$E$28:$E$48</c:f>
              <c:numCache>
                <c:formatCode>General</c:formatCode>
                <c:ptCount val="21"/>
                <c:pt idx="0">
                  <c:v>12.070080000000001</c:v>
                </c:pt>
                <c:pt idx="1">
                  <c:v>12.25296</c:v>
                </c:pt>
                <c:pt idx="2">
                  <c:v>12.435840000000001</c:v>
                </c:pt>
                <c:pt idx="3">
                  <c:v>12.618720000000001</c:v>
                </c:pt>
                <c:pt idx="4">
                  <c:v>12.801600000000001</c:v>
                </c:pt>
                <c:pt idx="5">
                  <c:v>12.98448</c:v>
                </c:pt>
                <c:pt idx="6">
                  <c:v>13.16736</c:v>
                </c:pt>
                <c:pt idx="7">
                  <c:v>13.350239999999999</c:v>
                </c:pt>
                <c:pt idx="8">
                  <c:v>13.53312</c:v>
                </c:pt>
                <c:pt idx="9">
                  <c:v>13.716000000000001</c:v>
                </c:pt>
                <c:pt idx="10">
                  <c:v>13.89888</c:v>
                </c:pt>
                <c:pt idx="11">
                  <c:v>14.081760000000001</c:v>
                </c:pt>
                <c:pt idx="12">
                  <c:v>14.26464</c:v>
                </c:pt>
                <c:pt idx="13">
                  <c:v>14.447520000000001</c:v>
                </c:pt>
                <c:pt idx="14">
                  <c:v>14.6304</c:v>
                </c:pt>
                <c:pt idx="15">
                  <c:v>14.813279999999999</c:v>
                </c:pt>
                <c:pt idx="16">
                  <c:v>14.996159999999998</c:v>
                </c:pt>
                <c:pt idx="17">
                  <c:v>15.179040000000001</c:v>
                </c:pt>
                <c:pt idx="18">
                  <c:v>15.36192</c:v>
                </c:pt>
                <c:pt idx="19">
                  <c:v>15.5448</c:v>
                </c:pt>
                <c:pt idx="20">
                  <c:v>15.727679999999999</c:v>
                </c:pt>
              </c:numCache>
            </c:numRef>
          </c:yVal>
        </c:ser>
        <c:ser>
          <c:idx val="2"/>
          <c:order val="2"/>
          <c:tx>
            <c:v>ori data (LOW)</c:v>
          </c:tx>
          <c:spPr>
            <a:ln w="28575">
              <a:noFill/>
            </a:ln>
          </c:spPr>
          <c:xVal>
            <c:numRef>
              <c:f>'(h) e to R'!$A$28:$A$44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xVal>
          <c:yVal>
            <c:numRef>
              <c:f>'(h) e to R'!$B$28:$B$44</c:f>
              <c:numCache>
                <c:formatCode>General</c:formatCode>
                <c:ptCount val="17"/>
                <c:pt idx="0">
                  <c:v>0.91439999999999999</c:v>
                </c:pt>
                <c:pt idx="1">
                  <c:v>1.8288</c:v>
                </c:pt>
                <c:pt idx="2">
                  <c:v>2.7431999999999999</c:v>
                </c:pt>
                <c:pt idx="3">
                  <c:v>3.6576</c:v>
                </c:pt>
                <c:pt idx="4">
                  <c:v>4.5720000000000001</c:v>
                </c:pt>
                <c:pt idx="5">
                  <c:v>5.4863999999999997</c:v>
                </c:pt>
                <c:pt idx="6">
                  <c:v>6.4008000000000003</c:v>
                </c:pt>
                <c:pt idx="7">
                  <c:v>7.3151999999999999</c:v>
                </c:pt>
                <c:pt idx="8">
                  <c:v>8.2296000000000014</c:v>
                </c:pt>
                <c:pt idx="9">
                  <c:v>9.1440000000000001</c:v>
                </c:pt>
                <c:pt idx="10">
                  <c:v>10.058400000000001</c:v>
                </c:pt>
                <c:pt idx="11">
                  <c:v>10.972799999999999</c:v>
                </c:pt>
                <c:pt idx="12">
                  <c:v>11.8872</c:v>
                </c:pt>
                <c:pt idx="13">
                  <c:v>12.801600000000001</c:v>
                </c:pt>
                <c:pt idx="14">
                  <c:v>13.716000000000001</c:v>
                </c:pt>
                <c:pt idx="15">
                  <c:v>14.6304</c:v>
                </c:pt>
                <c:pt idx="16">
                  <c:v>15.5448</c:v>
                </c:pt>
              </c:numCache>
            </c:numRef>
          </c:yVal>
        </c:ser>
        <c:axId val="78819712"/>
        <c:axId val="78821248"/>
      </c:scatterChart>
      <c:valAx>
        <c:axId val="78819712"/>
        <c:scaling>
          <c:orientation val="minMax"/>
          <c:min val="0"/>
        </c:scaling>
        <c:axPos val="b"/>
        <c:numFmt formatCode="General" sourceLinked="1"/>
        <c:tickLblPos val="nextTo"/>
        <c:crossAx val="78821248"/>
        <c:crosses val="autoZero"/>
        <c:crossBetween val="midCat"/>
      </c:valAx>
      <c:valAx>
        <c:axId val="78821248"/>
        <c:scaling>
          <c:orientation val="minMax"/>
        </c:scaling>
        <c:axPos val="l"/>
        <c:majorGridlines/>
        <c:numFmt formatCode="General" sourceLinked="1"/>
        <c:tickLblPos val="nextTo"/>
        <c:crossAx val="78819712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66686111111111301"/>
          <c:y val="0.20056321084864395"/>
          <c:w val="0.24213758375523722"/>
          <c:h val="0.27243552576908081"/>
        </c:manualLayout>
      </c:layout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(HIGH)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/>
              <a:t>j</a:t>
            </a:r>
            <a:r>
              <a:rPr lang="en-US"/>
              <a:t>arak max  -&gt;</a:t>
            </a:r>
            <a:r>
              <a:rPr lang="en-US" sz="1800" b="1" i="0" baseline="0"/>
              <a:t> sin2a</a:t>
            </a:r>
            <a:endParaRPr lang="en-US"/>
          </a:p>
        </c:rich>
      </c:tx>
      <c:layout>
        <c:manualLayout>
          <c:xMode val="edge"/>
          <c:yMode val="edge"/>
          <c:x val="0.32980422818172617"/>
          <c:y val="2.0162259177390923E-2"/>
        </c:manualLayout>
      </c:layout>
    </c:title>
    <c:plotArea>
      <c:layout>
        <c:manualLayout>
          <c:layoutTarget val="inner"/>
          <c:xMode val="edge"/>
          <c:yMode val="edge"/>
          <c:x val="8.2232849218473847E-2"/>
          <c:y val="0.18584595722711175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 (HIGH) jarak -&gt; sin(2a) </c:v>
          </c:tx>
          <c:spPr>
            <a:ln w="28575">
              <a:noFill/>
            </a:ln>
          </c:spPr>
          <c:trendline>
            <c:trendlineType val="poly"/>
            <c:order val="2"/>
            <c:forward val="1"/>
            <c:backward val="12"/>
            <c:dispRSqr val="1"/>
            <c:dispEq val="1"/>
            <c:trendlineLbl>
              <c:layout>
                <c:manualLayout>
                  <c:x val="0.10879790026246719"/>
                  <c:y val="0.41176800816564701"/>
                </c:manualLayout>
              </c:layout>
              <c:numFmt formatCode="@" sourceLinked="0"/>
            </c:trendlineLbl>
          </c:trendline>
          <c:xVal>
            <c:numRef>
              <c:f>'(h) e to R'!$E$77:$E$97</c:f>
              <c:numCache>
                <c:formatCode>General</c:formatCode>
                <c:ptCount val="21"/>
                <c:pt idx="0">
                  <c:v>12.070080000000001</c:v>
                </c:pt>
                <c:pt idx="1">
                  <c:v>12.25296</c:v>
                </c:pt>
                <c:pt idx="2">
                  <c:v>12.435840000000001</c:v>
                </c:pt>
                <c:pt idx="3">
                  <c:v>12.618720000000001</c:v>
                </c:pt>
                <c:pt idx="4">
                  <c:v>12.801600000000001</c:v>
                </c:pt>
                <c:pt idx="5">
                  <c:v>12.98448</c:v>
                </c:pt>
                <c:pt idx="6">
                  <c:v>13.16736</c:v>
                </c:pt>
                <c:pt idx="7">
                  <c:v>13.350239999999999</c:v>
                </c:pt>
                <c:pt idx="8">
                  <c:v>13.53312</c:v>
                </c:pt>
                <c:pt idx="9">
                  <c:v>13.716000000000001</c:v>
                </c:pt>
                <c:pt idx="10">
                  <c:v>13.89888</c:v>
                </c:pt>
                <c:pt idx="11">
                  <c:v>14.081760000000001</c:v>
                </c:pt>
                <c:pt idx="12">
                  <c:v>14.26464</c:v>
                </c:pt>
                <c:pt idx="13">
                  <c:v>14.447520000000001</c:v>
                </c:pt>
                <c:pt idx="14">
                  <c:v>14.6304</c:v>
                </c:pt>
                <c:pt idx="15">
                  <c:v>14.813279999999999</c:v>
                </c:pt>
                <c:pt idx="16">
                  <c:v>14.996159999999998</c:v>
                </c:pt>
                <c:pt idx="17">
                  <c:v>15.179040000000001</c:v>
                </c:pt>
                <c:pt idx="18">
                  <c:v>15.36192</c:v>
                </c:pt>
                <c:pt idx="19">
                  <c:v>15.5448</c:v>
                </c:pt>
                <c:pt idx="20">
                  <c:v>15.727679999999999</c:v>
                </c:pt>
              </c:numCache>
            </c:numRef>
          </c:xVal>
          <c:yVal>
            <c:numRef>
              <c:f>'(h) e to R'!$F$77:$F$97</c:f>
              <c:numCache>
                <c:formatCode>General</c:formatCode>
                <c:ptCount val="21"/>
                <c:pt idx="0">
                  <c:v>0.69966334051336565</c:v>
                </c:pt>
                <c:pt idx="1">
                  <c:v>0.71447267963280325</c:v>
                </c:pt>
                <c:pt idx="2">
                  <c:v>0.72657467097097594</c:v>
                </c:pt>
                <c:pt idx="3">
                  <c:v>0.7384553406258838</c:v>
                </c:pt>
                <c:pt idx="4">
                  <c:v>0.75011106963045937</c:v>
                </c:pt>
                <c:pt idx="5">
                  <c:v>0.76153830753673668</c:v>
                </c:pt>
                <c:pt idx="6">
                  <c:v>0.77494448870417987</c:v>
                </c:pt>
                <c:pt idx="7">
                  <c:v>0.78585689317540208</c:v>
                </c:pt>
                <c:pt idx="8">
                  <c:v>0.79863551004729272</c:v>
                </c:pt>
                <c:pt idx="9">
                  <c:v>0.81106381898932656</c:v>
                </c:pt>
                <c:pt idx="10">
                  <c:v>0.82313636853444205</c:v>
                </c:pt>
                <c:pt idx="11">
                  <c:v>0.83484786326340654</c:v>
                </c:pt>
                <c:pt idx="12">
                  <c:v>0.84804809615642607</c:v>
                </c:pt>
                <c:pt idx="13">
                  <c:v>0.86074202700394364</c:v>
                </c:pt>
                <c:pt idx="14">
                  <c:v>0.87292207726980953</c:v>
                </c:pt>
                <c:pt idx="15">
                  <c:v>0.88620357923121484</c:v>
                </c:pt>
                <c:pt idx="16">
                  <c:v>0.89725836967432848</c:v>
                </c:pt>
                <c:pt idx="17">
                  <c:v>0.91068366080617713</c:v>
                </c:pt>
                <c:pt idx="18">
                  <c:v>0.92454603361231313</c:v>
                </c:pt>
                <c:pt idx="19">
                  <c:v>0.93728198949189145</c:v>
                </c:pt>
                <c:pt idx="20">
                  <c:v>0.95105651629515364</c:v>
                </c:pt>
              </c:numCache>
            </c:numRef>
          </c:yVal>
        </c:ser>
        <c:axId val="79592832"/>
        <c:axId val="79598720"/>
      </c:scatterChart>
      <c:valAx>
        <c:axId val="7959283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>
                <a:solidFill>
                  <a:schemeClr val="accent6">
                    <a:lumMod val="75000"/>
                  </a:schemeClr>
                </a:solidFill>
              </a:defRPr>
            </a:pPr>
            <a:endParaRPr lang="en-US"/>
          </a:p>
        </c:txPr>
        <c:crossAx val="79598720"/>
        <c:crosses val="autoZero"/>
        <c:crossBetween val="midCat"/>
      </c:valAx>
      <c:valAx>
        <c:axId val="79598720"/>
        <c:scaling>
          <c:orientation val="minMax"/>
        </c:scaling>
        <c:axPos val="l"/>
        <c:majorGridlines/>
        <c:numFmt formatCode="General" sourceLinked="1"/>
        <c:tickLblPos val="nextTo"/>
        <c:crossAx val="79592832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</c:spPr>
    </c:plotArea>
    <c:legend>
      <c:legendPos val="r"/>
      <c:layout>
        <c:manualLayout>
          <c:xMode val="edge"/>
          <c:yMode val="edge"/>
          <c:x val="0.66686111111111301"/>
          <c:y val="0.20056321084864395"/>
          <c:w val="0.33313888888889126"/>
          <c:h val="0.27005395158938467"/>
        </c:manualLayout>
      </c:layout>
    </c:legend>
    <c:plotVisOnly val="1"/>
  </c:chart>
  <c:spPr>
    <a:solidFill>
      <a:schemeClr val="accent3">
        <a:lumMod val="20000"/>
        <a:lumOff val="80000"/>
      </a:schemeClr>
    </a:solidFill>
  </c:sp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8.4488407699037621E-2"/>
          <c:y val="0.1875322240575569"/>
          <c:w val="0.80177559055118353"/>
          <c:h val="0.76106738941453778"/>
        </c:manualLayout>
      </c:layout>
      <c:scatterChart>
        <c:scatterStyle val="lineMarker"/>
        <c:ser>
          <c:idx val="0"/>
          <c:order val="0"/>
          <c:tx>
            <c:v>sin a: max height</c:v>
          </c:tx>
          <c:trendline>
            <c:trendlineType val="poly"/>
            <c:order val="2"/>
            <c:forward val="0.1"/>
            <c:backward val="0.4"/>
            <c:dispRSqr val="1"/>
            <c:dispEq val="1"/>
            <c:trendlineLbl>
              <c:layout>
                <c:manualLayout>
                  <c:x val="0.20735761154855617"/>
                  <c:y val="0.52300484178608109"/>
                </c:manualLayout>
              </c:layout>
              <c:numFmt formatCode="@" sourceLinked="0"/>
            </c:trendlineLbl>
          </c:trendline>
          <c:xVal>
            <c:numRef>
              <c:f>'(h) e to H'!$G$5:$G$25</c:f>
              <c:numCache>
                <c:formatCode>General</c:formatCode>
                <c:ptCount val="21"/>
                <c:pt idx="0">
                  <c:v>0.80901699437494745</c:v>
                </c:pt>
                <c:pt idx="1">
                  <c:v>0.82114920913370404</c:v>
                </c:pt>
                <c:pt idx="2">
                  <c:v>0.83098446927432834</c:v>
                </c:pt>
                <c:pt idx="3">
                  <c:v>0.84056660349568424</c:v>
                </c:pt>
                <c:pt idx="4">
                  <c:v>0.84897168762914144</c:v>
                </c:pt>
                <c:pt idx="5">
                  <c:v>0.8553642601605066</c:v>
                </c:pt>
                <c:pt idx="6">
                  <c:v>0.86251366920725747</c:v>
                </c:pt>
                <c:pt idx="7">
                  <c:v>0.8686315144381912</c:v>
                </c:pt>
                <c:pt idx="8">
                  <c:v>0.87461970713939574</c:v>
                </c:pt>
                <c:pt idx="9">
                  <c:v>0.88047735350916201</c:v>
                </c:pt>
                <c:pt idx="10">
                  <c:v>0.88539362575441583</c:v>
                </c:pt>
                <c:pt idx="11">
                  <c:v>0.89021280461112651</c:v>
                </c:pt>
                <c:pt idx="12">
                  <c:v>0.89493436160202511</c:v>
                </c:pt>
                <c:pt idx="13">
                  <c:v>0.8995577789551803</c:v>
                </c:pt>
                <c:pt idx="14">
                  <c:v>0.90333529286330072</c:v>
                </c:pt>
                <c:pt idx="15">
                  <c:v>0.90777747853290869</c:v>
                </c:pt>
                <c:pt idx="16">
                  <c:v>0.91140327663544529</c:v>
                </c:pt>
                <c:pt idx="17">
                  <c:v>0.91495966784982485</c:v>
                </c:pt>
                <c:pt idx="18">
                  <c:v>0.91844638134308709</c:v>
                </c:pt>
                <c:pt idx="19">
                  <c:v>0.92186315158850052</c:v>
                </c:pt>
                <c:pt idx="20">
                  <c:v>0.92587058480999473</c:v>
                </c:pt>
              </c:numCache>
            </c:numRef>
          </c:xVal>
          <c:yVal>
            <c:numRef>
              <c:f>'(h) e to H'!$F$5:$F$25</c:f>
              <c:numCache>
                <c:formatCode>General</c:formatCode>
                <c:ptCount val="21"/>
                <c:pt idx="0">
                  <c:v>7.547152800000001</c:v>
                </c:pt>
                <c:pt idx="1">
                  <c:v>7.7730096000000009</c:v>
                </c:pt>
                <c:pt idx="2">
                  <c:v>7.9534512000000008</c:v>
                </c:pt>
                <c:pt idx="3">
                  <c:v>8.1195672000000005</c:v>
                </c:pt>
                <c:pt idx="4">
                  <c:v>8.2847688000000002</c:v>
                </c:pt>
                <c:pt idx="5">
                  <c:v>8.4130896000000011</c:v>
                </c:pt>
                <c:pt idx="6">
                  <c:v>8.5414104000000002</c:v>
                </c:pt>
                <c:pt idx="7">
                  <c:v>8.6636352000000016</c:v>
                </c:pt>
                <c:pt idx="8">
                  <c:v>8.7703152000000006</c:v>
                </c:pt>
                <c:pt idx="9">
                  <c:v>8.8769952000000014</c:v>
                </c:pt>
                <c:pt idx="10">
                  <c:v>8.9751408000000019</c:v>
                </c:pt>
                <c:pt idx="11">
                  <c:v>9.0665808000000006</c:v>
                </c:pt>
                <c:pt idx="12">
                  <c:v>9.158020800000001</c:v>
                </c:pt>
                <c:pt idx="13">
                  <c:v>9.2400120000000001</c:v>
                </c:pt>
                <c:pt idx="14">
                  <c:v>9.3201744000000009</c:v>
                </c:pt>
                <c:pt idx="15">
                  <c:v>9.3991176000000003</c:v>
                </c:pt>
                <c:pt idx="16">
                  <c:v>9.4698312000000016</c:v>
                </c:pt>
                <c:pt idx="17">
                  <c:v>9.5405447999999993</c:v>
                </c:pt>
                <c:pt idx="18">
                  <c:v>9.6088199999999997</c:v>
                </c:pt>
                <c:pt idx="19">
                  <c:v>9.6716087999999996</c:v>
                </c:pt>
                <c:pt idx="20">
                  <c:v>9.7347023999999998</c:v>
                </c:pt>
              </c:numCache>
            </c:numRef>
          </c:yVal>
        </c:ser>
        <c:axId val="80782080"/>
        <c:axId val="80783616"/>
      </c:scatterChart>
      <c:valAx>
        <c:axId val="80782080"/>
        <c:scaling>
          <c:orientation val="minMax"/>
        </c:scaling>
        <c:axPos val="b"/>
        <c:numFmt formatCode="General" sourceLinked="1"/>
        <c:tickLblPos val="nextTo"/>
        <c:crossAx val="80783616"/>
        <c:crosses val="autoZero"/>
        <c:crossBetween val="midCat"/>
      </c:valAx>
      <c:valAx>
        <c:axId val="80783616"/>
        <c:scaling>
          <c:orientation val="minMax"/>
        </c:scaling>
        <c:axPos val="l"/>
        <c:majorGridlines/>
        <c:numFmt formatCode="General" sourceLinked="1"/>
        <c:tickLblPos val="nextTo"/>
        <c:crossAx val="80782080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8.4488407699037621E-2"/>
          <c:y val="0.15788203557888636"/>
          <c:w val="0.8222758933979406"/>
          <c:h val="0.69174358413531645"/>
        </c:manualLayout>
      </c:layout>
      <c:scatterChart>
        <c:scatterStyle val="lineMarker"/>
        <c:ser>
          <c:idx val="0"/>
          <c:order val="0"/>
          <c:tx>
            <c:v>interpol tes</c:v>
          </c:tx>
          <c:spPr>
            <a:ln w="28575">
              <a:noFill/>
            </a:ln>
          </c:spPr>
          <c:trendline>
            <c:trendlineType val="poly"/>
            <c:order val="2"/>
            <c:backward val="10"/>
            <c:dispRSqr val="1"/>
            <c:dispEq val="1"/>
            <c:trendlineLbl>
              <c:layout>
                <c:manualLayout>
                  <c:x val="-0.24520341207349153"/>
                  <c:y val="-4.746281714785681E-4"/>
                </c:manualLayout>
              </c:layout>
              <c:numFmt formatCode="@" sourceLinked="0"/>
            </c:trendlineLbl>
          </c:trendline>
          <c:xVal>
            <c:numRef>
              <c:f>'(h) e to H'!$E$32:$E$49</c:f>
              <c:numCache>
                <c:formatCode>General</c:formatCode>
                <c:ptCount val="18"/>
                <c:pt idx="0">
                  <c:v>45</c:v>
                </c:pt>
                <c:pt idx="1">
                  <c:v>47.5</c:v>
                </c:pt>
                <c:pt idx="2">
                  <c:v>50</c:v>
                </c:pt>
                <c:pt idx="3">
                  <c:v>52.5</c:v>
                </c:pt>
                <c:pt idx="4">
                  <c:v>55</c:v>
                </c:pt>
                <c:pt idx="5">
                  <c:v>57.5</c:v>
                </c:pt>
                <c:pt idx="6">
                  <c:v>60</c:v>
                </c:pt>
                <c:pt idx="7">
                  <c:v>62.5</c:v>
                </c:pt>
                <c:pt idx="8">
                  <c:v>65</c:v>
                </c:pt>
                <c:pt idx="9">
                  <c:v>67.5</c:v>
                </c:pt>
                <c:pt idx="10">
                  <c:v>70</c:v>
                </c:pt>
                <c:pt idx="11">
                  <c:v>72.5</c:v>
                </c:pt>
                <c:pt idx="12">
                  <c:v>75</c:v>
                </c:pt>
                <c:pt idx="13">
                  <c:v>77.5</c:v>
                </c:pt>
                <c:pt idx="14">
                  <c:v>80</c:v>
                </c:pt>
                <c:pt idx="15">
                  <c:v>82.5</c:v>
                </c:pt>
                <c:pt idx="16">
                  <c:v>85</c:v>
                </c:pt>
                <c:pt idx="17">
                  <c:v>87.5</c:v>
                </c:pt>
              </c:numCache>
            </c:numRef>
          </c:xVal>
          <c:yVal>
            <c:numRef>
              <c:f>'(h) e to H'!$G$32:$G$49</c:f>
              <c:numCache>
                <c:formatCode>General</c:formatCode>
                <c:ptCount val="18"/>
                <c:pt idx="0">
                  <c:v>5.6909718426132727</c:v>
                </c:pt>
                <c:pt idx="1">
                  <c:v>6.2334541628450939</c:v>
                </c:pt>
                <c:pt idx="2">
                  <c:v>6.7556992908095062</c:v>
                </c:pt>
                <c:pt idx="3">
                  <c:v>7.2559856110109635</c:v>
                </c:pt>
                <c:pt idx="4">
                  <c:v>7.7326444235630003</c:v>
                </c:pt>
                <c:pt idx="5">
                  <c:v>8.1840685727105882</c:v>
                </c:pt>
                <c:pt idx="6">
                  <c:v>8.6087208321085651</c:v>
                </c:pt>
                <c:pt idx="7">
                  <c:v>9.0051419903604799</c:v>
                </c:pt>
                <c:pt idx="8">
                  <c:v>9.3719585821608327</c:v>
                </c:pt>
                <c:pt idx="9">
                  <c:v>9.7078902126253386</c:v>
                </c:pt>
                <c:pt idx="10">
                  <c:v>10.011756425022019</c:v>
                </c:pt>
                <c:pt idx="11">
                  <c:v>10.282483065111789</c:v>
                </c:pt>
                <c:pt idx="12">
                  <c:v>10.51910809864871</c:v>
                </c:pt>
                <c:pt idx="13">
                  <c:v>10.720786842252823</c:v>
                </c:pt>
                <c:pt idx="14">
                  <c:v>10.886796571825306</c:v>
                </c:pt>
                <c:pt idx="15">
                  <c:v>11.016540476897974</c:v>
                </c:pt>
                <c:pt idx="16">
                  <c:v>11.109550933764977</c:v>
                </c:pt>
                <c:pt idx="17">
                  <c:v>11.165492074901762</c:v>
                </c:pt>
              </c:numCache>
            </c:numRef>
          </c:yVal>
        </c:ser>
        <c:ser>
          <c:idx val="1"/>
          <c:order val="1"/>
          <c:tx>
            <c:v>ori data high</c:v>
          </c:tx>
          <c:spPr>
            <a:ln w="28575">
              <a:noFill/>
            </a:ln>
          </c:spPr>
          <c:xVal>
            <c:numRef>
              <c:f>'(h) e to H'!$E$5:$E$25</c:f>
              <c:numCache>
                <c:formatCode>General</c:formatCode>
                <c:ptCount val="21"/>
                <c:pt idx="0">
                  <c:v>54</c:v>
                </c:pt>
                <c:pt idx="1">
                  <c:v>55.2</c:v>
                </c:pt>
                <c:pt idx="2">
                  <c:v>56.2</c:v>
                </c:pt>
                <c:pt idx="3">
                  <c:v>57.2</c:v>
                </c:pt>
                <c:pt idx="4">
                  <c:v>58.1</c:v>
                </c:pt>
                <c:pt idx="5">
                  <c:v>58.8</c:v>
                </c:pt>
                <c:pt idx="6">
                  <c:v>59.6</c:v>
                </c:pt>
                <c:pt idx="7">
                  <c:v>60.3</c:v>
                </c:pt>
                <c:pt idx="8">
                  <c:v>61</c:v>
                </c:pt>
                <c:pt idx="9">
                  <c:v>61.7</c:v>
                </c:pt>
                <c:pt idx="10">
                  <c:v>62.3</c:v>
                </c:pt>
                <c:pt idx="11">
                  <c:v>62.9</c:v>
                </c:pt>
                <c:pt idx="12">
                  <c:v>63.5</c:v>
                </c:pt>
                <c:pt idx="13">
                  <c:v>64.099999999999994</c:v>
                </c:pt>
                <c:pt idx="14">
                  <c:v>64.599999999999994</c:v>
                </c:pt>
                <c:pt idx="15">
                  <c:v>65.2</c:v>
                </c:pt>
                <c:pt idx="16">
                  <c:v>65.7</c:v>
                </c:pt>
                <c:pt idx="17">
                  <c:v>66.2</c:v>
                </c:pt>
                <c:pt idx="18">
                  <c:v>66.7</c:v>
                </c:pt>
                <c:pt idx="19">
                  <c:v>67.2</c:v>
                </c:pt>
                <c:pt idx="20">
                  <c:v>67.8</c:v>
                </c:pt>
              </c:numCache>
            </c:numRef>
          </c:xVal>
          <c:yVal>
            <c:numRef>
              <c:f>'(h) e to H'!$F$5:$F$25</c:f>
              <c:numCache>
                <c:formatCode>General</c:formatCode>
                <c:ptCount val="21"/>
                <c:pt idx="0">
                  <c:v>7.547152800000001</c:v>
                </c:pt>
                <c:pt idx="1">
                  <c:v>7.7730096000000009</c:v>
                </c:pt>
                <c:pt idx="2">
                  <c:v>7.9534512000000008</c:v>
                </c:pt>
                <c:pt idx="3">
                  <c:v>8.1195672000000005</c:v>
                </c:pt>
                <c:pt idx="4">
                  <c:v>8.2847688000000002</c:v>
                </c:pt>
                <c:pt idx="5">
                  <c:v>8.4130896000000011</c:v>
                </c:pt>
                <c:pt idx="6">
                  <c:v>8.5414104000000002</c:v>
                </c:pt>
                <c:pt idx="7">
                  <c:v>8.6636352000000016</c:v>
                </c:pt>
                <c:pt idx="8">
                  <c:v>8.7703152000000006</c:v>
                </c:pt>
                <c:pt idx="9">
                  <c:v>8.8769952000000014</c:v>
                </c:pt>
                <c:pt idx="10">
                  <c:v>8.9751408000000019</c:v>
                </c:pt>
                <c:pt idx="11">
                  <c:v>9.0665808000000006</c:v>
                </c:pt>
                <c:pt idx="12">
                  <c:v>9.158020800000001</c:v>
                </c:pt>
                <c:pt idx="13">
                  <c:v>9.2400120000000001</c:v>
                </c:pt>
                <c:pt idx="14">
                  <c:v>9.3201744000000009</c:v>
                </c:pt>
                <c:pt idx="15">
                  <c:v>9.3991176000000003</c:v>
                </c:pt>
                <c:pt idx="16">
                  <c:v>9.4698312000000016</c:v>
                </c:pt>
                <c:pt idx="17">
                  <c:v>9.5405447999999993</c:v>
                </c:pt>
                <c:pt idx="18">
                  <c:v>9.6088199999999997</c:v>
                </c:pt>
                <c:pt idx="19">
                  <c:v>9.6716087999999996</c:v>
                </c:pt>
                <c:pt idx="20">
                  <c:v>9.7347023999999998</c:v>
                </c:pt>
              </c:numCache>
            </c:numRef>
          </c:yVal>
        </c:ser>
        <c:ser>
          <c:idx val="2"/>
          <c:order val="2"/>
          <c:tx>
            <c:v>ori data low</c:v>
          </c:tx>
          <c:spPr>
            <a:ln w="28575">
              <a:noFill/>
            </a:ln>
          </c:spPr>
          <c:xVal>
            <c:numRef>
              <c:f>'(h) e to H'!$B$6:$B$22</c:f>
              <c:numCache>
                <c:formatCode>General</c:formatCode>
                <c:ptCount val="17"/>
                <c:pt idx="0">
                  <c:v>0.3</c:v>
                </c:pt>
                <c:pt idx="1">
                  <c:v>0.8</c:v>
                </c:pt>
                <c:pt idx="2">
                  <c:v>1.3</c:v>
                </c:pt>
                <c:pt idx="3">
                  <c:v>1.9</c:v>
                </c:pt>
                <c:pt idx="4">
                  <c:v>2.6</c:v>
                </c:pt>
                <c:pt idx="5">
                  <c:v>3.6</c:v>
                </c:pt>
                <c:pt idx="6">
                  <c:v>4.8</c:v>
                </c:pt>
                <c:pt idx="7">
                  <c:v>6.3</c:v>
                </c:pt>
                <c:pt idx="8">
                  <c:v>8</c:v>
                </c:pt>
                <c:pt idx="9">
                  <c:v>10.1</c:v>
                </c:pt>
                <c:pt idx="10">
                  <c:v>12.3</c:v>
                </c:pt>
                <c:pt idx="11">
                  <c:v>14.9</c:v>
                </c:pt>
                <c:pt idx="12">
                  <c:v>17.8</c:v>
                </c:pt>
                <c:pt idx="13">
                  <c:v>21</c:v>
                </c:pt>
                <c:pt idx="14">
                  <c:v>24.8</c:v>
                </c:pt>
                <c:pt idx="15">
                  <c:v>29.4</c:v>
                </c:pt>
                <c:pt idx="16">
                  <c:v>35.9</c:v>
                </c:pt>
              </c:numCache>
            </c:numRef>
          </c:xVal>
          <c:yVal>
            <c:numRef>
              <c:f>'(h) e to H'!$C$6:$C$22</c:f>
              <c:numCache>
                <c:formatCode>General</c:formatCode>
                <c:ptCount val="17"/>
                <c:pt idx="0">
                  <c:v>1.524E-3</c:v>
                </c:pt>
                <c:pt idx="1">
                  <c:v>6.7056000000000008E-3</c:v>
                </c:pt>
                <c:pt idx="2">
                  <c:v>1.7373599999999999E-2</c:v>
                </c:pt>
                <c:pt idx="3">
                  <c:v>3.5966400000000003E-2</c:v>
                </c:pt>
                <c:pt idx="4">
                  <c:v>6.6141599999999995E-2</c:v>
                </c:pt>
                <c:pt idx="5">
                  <c:v>0.11308080000000001</c:v>
                </c:pt>
                <c:pt idx="6">
                  <c:v>0.18684239999999999</c:v>
                </c:pt>
                <c:pt idx="7">
                  <c:v>0.294132</c:v>
                </c:pt>
                <c:pt idx="8">
                  <c:v>0.43982640000000006</c:v>
                </c:pt>
                <c:pt idx="9">
                  <c:v>0.62697360000000002</c:v>
                </c:pt>
                <c:pt idx="10">
                  <c:v>0.86014560000000007</c:v>
                </c:pt>
                <c:pt idx="11">
                  <c:v>1.1469624</c:v>
                </c:pt>
                <c:pt idx="12">
                  <c:v>1.4962632000000002</c:v>
                </c:pt>
                <c:pt idx="13">
                  <c:v>1.9245072000000001</c:v>
                </c:pt>
                <c:pt idx="14">
                  <c:v>2.4588216000000003</c:v>
                </c:pt>
                <c:pt idx="15">
                  <c:v>3.1629095999999999</c:v>
                </c:pt>
                <c:pt idx="16">
                  <c:v>4.2129456000000003</c:v>
                </c:pt>
              </c:numCache>
            </c:numRef>
          </c:yVal>
        </c:ser>
        <c:axId val="80806272"/>
        <c:axId val="80807808"/>
      </c:scatterChart>
      <c:valAx>
        <c:axId val="80806272"/>
        <c:scaling>
          <c:orientation val="minMax"/>
        </c:scaling>
        <c:axPos val="b"/>
        <c:numFmt formatCode="General" sourceLinked="1"/>
        <c:tickLblPos val="nextTo"/>
        <c:crossAx val="80807808"/>
        <c:crosses val="autoZero"/>
        <c:crossBetween val="midCat"/>
      </c:valAx>
      <c:valAx>
        <c:axId val="80807808"/>
        <c:scaling>
          <c:orientation val="minMax"/>
        </c:scaling>
        <c:axPos val="l"/>
        <c:majorGridlines/>
        <c:numFmt formatCode="General" sourceLinked="1"/>
        <c:tickLblPos val="nextTo"/>
        <c:crossAx val="80806272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</c:spPr>
    </c:plotArea>
    <c:legend>
      <c:legendPos val="r"/>
    </c:legend>
    <c:plotVisOnly val="1"/>
  </c:chart>
  <c:spPr>
    <a:solidFill>
      <a:schemeClr val="accent4">
        <a:lumMod val="40000"/>
        <a:lumOff val="60000"/>
      </a:schemeClr>
    </a:solidFill>
  </c:spPr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5271532190360913E-2"/>
          <c:y val="0.18033236316326537"/>
          <c:w val="0.88487191809908938"/>
          <c:h val="0.77208542810226588"/>
        </c:manualLayout>
      </c:layout>
      <c:scatterChart>
        <c:scatterStyle val="lineMarker"/>
        <c:ser>
          <c:idx val="0"/>
          <c:order val="0"/>
          <c:trendline>
            <c:trendlineType val="poly"/>
            <c:order val="3"/>
            <c:forward val="10"/>
            <c:backward val="20"/>
            <c:dispRSqr val="1"/>
            <c:dispEq val="1"/>
            <c:trendlineLbl>
              <c:layout>
                <c:manualLayout>
                  <c:x val="0.16311407686785326"/>
                  <c:y val="0.59109604249807945"/>
                </c:manualLayout>
              </c:layout>
              <c:numFmt formatCode="@" sourceLinked="0"/>
            </c:trendlineLbl>
          </c:trendline>
          <c:xVal>
            <c:numRef>
              <c:f>'(h) e to T'!$E$35:$E$56</c:f>
              <c:numCache>
                <c:formatCode>General</c:formatCode>
                <c:ptCount val="22"/>
                <c:pt idx="1">
                  <c:v>8.7292611371180779</c:v>
                </c:pt>
                <c:pt idx="2">
                  <c:v>8.7977269791691093</c:v>
                </c:pt>
                <c:pt idx="3">
                  <c:v>8.8543774484714621</c:v>
                </c:pt>
                <c:pt idx="4">
                  <c:v>8.8994381845147963</c:v>
                </c:pt>
                <c:pt idx="5">
                  <c:v>8.9498603341057787</c:v>
                </c:pt>
                <c:pt idx="6">
                  <c:v>8.9833178725902822</c:v>
                </c:pt>
                <c:pt idx="7">
                  <c:v>9.0221948549119695</c:v>
                </c:pt>
                <c:pt idx="8">
                  <c:v>9.0553851381374173</c:v>
                </c:pt>
                <c:pt idx="9">
                  <c:v>9.0884542140014108</c:v>
                </c:pt>
                <c:pt idx="10">
                  <c:v>9.1159201400626575</c:v>
                </c:pt>
                <c:pt idx="11">
                  <c:v>9.1487704091861435</c:v>
                </c:pt>
                <c:pt idx="12">
                  <c:v>9.1760557975635706</c:v>
                </c:pt>
                <c:pt idx="13">
                  <c:v>9.1978258300535352</c:v>
                </c:pt>
                <c:pt idx="14">
                  <c:v>9.2249661245990495</c:v>
                </c:pt>
                <c:pt idx="15">
                  <c:v>9.2466210044534645</c:v>
                </c:pt>
                <c:pt idx="16">
                  <c:v>9.2682252885868071</c:v>
                </c:pt>
                <c:pt idx="17">
                  <c:v>9.2897793299948734</c:v>
                </c:pt>
                <c:pt idx="18">
                  <c:v>9.3112834775878248</c:v>
                </c:pt>
                <c:pt idx="19">
                  <c:v>9.3327380762560779</c:v>
                </c:pt>
                <c:pt idx="20">
                  <c:v>9.3487967140161956</c:v>
                </c:pt>
                <c:pt idx="21">
                  <c:v>9.3648278147545252</c:v>
                </c:pt>
              </c:numCache>
            </c:numRef>
          </c:xVal>
          <c:yVal>
            <c:numRef>
              <c:f>'(h) e to T'!$C$35:$C$56</c:f>
              <c:numCache>
                <c:formatCode>General</c:formatCode>
                <c:ptCount val="22"/>
                <c:pt idx="1">
                  <c:v>15.727679999999999</c:v>
                </c:pt>
                <c:pt idx="2">
                  <c:v>15.5448</c:v>
                </c:pt>
                <c:pt idx="3">
                  <c:v>15.36192</c:v>
                </c:pt>
                <c:pt idx="4">
                  <c:v>15.179040000000001</c:v>
                </c:pt>
                <c:pt idx="5">
                  <c:v>14.996159999999998</c:v>
                </c:pt>
                <c:pt idx="6">
                  <c:v>14.813279999999999</c:v>
                </c:pt>
                <c:pt idx="7">
                  <c:v>14.6304</c:v>
                </c:pt>
                <c:pt idx="8">
                  <c:v>14.447520000000001</c:v>
                </c:pt>
                <c:pt idx="9">
                  <c:v>14.26464</c:v>
                </c:pt>
                <c:pt idx="10">
                  <c:v>14.081760000000001</c:v>
                </c:pt>
                <c:pt idx="11">
                  <c:v>13.89888</c:v>
                </c:pt>
                <c:pt idx="12">
                  <c:v>13.716000000000001</c:v>
                </c:pt>
                <c:pt idx="13">
                  <c:v>13.53312</c:v>
                </c:pt>
                <c:pt idx="14">
                  <c:v>13.350239999999999</c:v>
                </c:pt>
                <c:pt idx="15">
                  <c:v>13.16736</c:v>
                </c:pt>
                <c:pt idx="16">
                  <c:v>12.98448</c:v>
                </c:pt>
                <c:pt idx="17">
                  <c:v>12.801600000000001</c:v>
                </c:pt>
                <c:pt idx="18">
                  <c:v>12.618720000000001</c:v>
                </c:pt>
                <c:pt idx="19">
                  <c:v>12.435840000000001</c:v>
                </c:pt>
                <c:pt idx="20">
                  <c:v>12.25296</c:v>
                </c:pt>
                <c:pt idx="21">
                  <c:v>12.070080000000001</c:v>
                </c:pt>
              </c:numCache>
            </c:numRef>
          </c:yVal>
        </c:ser>
        <c:axId val="80849152"/>
        <c:axId val="80863232"/>
      </c:scatterChart>
      <c:valAx>
        <c:axId val="80849152"/>
        <c:scaling>
          <c:orientation val="minMax"/>
        </c:scaling>
        <c:axPos val="b"/>
        <c:numFmt formatCode="General" sourceLinked="1"/>
        <c:tickLblPos val="nextTo"/>
        <c:crossAx val="80863232"/>
        <c:crosses val="autoZero"/>
        <c:crossBetween val="midCat"/>
      </c:valAx>
      <c:valAx>
        <c:axId val="80863232"/>
        <c:scaling>
          <c:orientation val="minMax"/>
        </c:scaling>
        <c:axPos val="l"/>
        <c:majorGridlines/>
        <c:numFmt formatCode="General" sourceLinked="1"/>
        <c:tickLblPos val="nextTo"/>
        <c:crossAx val="80849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4797222222222262"/>
          <c:y val="0.45012779524684127"/>
          <c:w val="0.34172095737750902"/>
          <c:h val="0.23249454837018041"/>
        </c:manualLayout>
      </c:layout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6.5305038388673187E-2"/>
          <c:y val="8.8325214346797576E-2"/>
          <c:w val="0.87417874410019625"/>
          <c:h val="0.83568388289779105"/>
        </c:manualLayout>
      </c:layout>
      <c:scatterChart>
        <c:scatterStyle val="lineMarker"/>
        <c:ser>
          <c:idx val="0"/>
          <c:order val="0"/>
          <c:tx>
            <c:v>sudut -&gt; max time</c:v>
          </c:tx>
          <c:trendline>
            <c:trendlineType val="poly"/>
            <c:order val="2"/>
            <c:forward val="15"/>
            <c:backward val="5"/>
            <c:dispRSqr val="1"/>
            <c:dispEq val="1"/>
            <c:trendlineLbl>
              <c:layout>
                <c:manualLayout>
                  <c:x val="-8.9399623776808528E-3"/>
                  <c:y val="0.59487049649604073"/>
                </c:manualLayout>
              </c:layout>
              <c:numFmt formatCode="@" sourceLinked="0"/>
            </c:trendlineLbl>
          </c:trendline>
          <c:xVal>
            <c:numRef>
              <c:f>'(h) e to T'!$C$8:$C$28</c:f>
              <c:numCache>
                <c:formatCode>General</c:formatCode>
                <c:ptCount val="21"/>
                <c:pt idx="0">
                  <c:v>54</c:v>
                </c:pt>
                <c:pt idx="1">
                  <c:v>55.2</c:v>
                </c:pt>
                <c:pt idx="2">
                  <c:v>56.2</c:v>
                </c:pt>
                <c:pt idx="3">
                  <c:v>57.2</c:v>
                </c:pt>
                <c:pt idx="4">
                  <c:v>58.1</c:v>
                </c:pt>
                <c:pt idx="5">
                  <c:v>58.8</c:v>
                </c:pt>
                <c:pt idx="6">
                  <c:v>59.6</c:v>
                </c:pt>
                <c:pt idx="7">
                  <c:v>60.3</c:v>
                </c:pt>
                <c:pt idx="8">
                  <c:v>61</c:v>
                </c:pt>
                <c:pt idx="9">
                  <c:v>61.7</c:v>
                </c:pt>
                <c:pt idx="10">
                  <c:v>62.3</c:v>
                </c:pt>
                <c:pt idx="11">
                  <c:v>62.9</c:v>
                </c:pt>
                <c:pt idx="12">
                  <c:v>63.5</c:v>
                </c:pt>
                <c:pt idx="13">
                  <c:v>64.099999999999994</c:v>
                </c:pt>
                <c:pt idx="14">
                  <c:v>64.599999999999994</c:v>
                </c:pt>
                <c:pt idx="15">
                  <c:v>65.2</c:v>
                </c:pt>
                <c:pt idx="16">
                  <c:v>65.7</c:v>
                </c:pt>
                <c:pt idx="17">
                  <c:v>66.2</c:v>
                </c:pt>
                <c:pt idx="18">
                  <c:v>66.7</c:v>
                </c:pt>
                <c:pt idx="19">
                  <c:v>67.2</c:v>
                </c:pt>
                <c:pt idx="20">
                  <c:v>67.8</c:v>
                </c:pt>
              </c:numCache>
            </c:numRef>
          </c:xVal>
          <c:yVal>
            <c:numRef>
              <c:f>'(h) e to T'!$D$8:$D$28</c:f>
              <c:numCache>
                <c:formatCode>General</c:formatCode>
                <c:ptCount val="21"/>
                <c:pt idx="0">
                  <c:v>76.2</c:v>
                </c:pt>
                <c:pt idx="1">
                  <c:v>77.400000000000006</c:v>
                </c:pt>
                <c:pt idx="2">
                  <c:v>78.400000000000006</c:v>
                </c:pt>
                <c:pt idx="3">
                  <c:v>79.2</c:v>
                </c:pt>
                <c:pt idx="4">
                  <c:v>80.099999999999994</c:v>
                </c:pt>
                <c:pt idx="5">
                  <c:v>80.7</c:v>
                </c:pt>
                <c:pt idx="6">
                  <c:v>81.400000000000006</c:v>
                </c:pt>
                <c:pt idx="7">
                  <c:v>82</c:v>
                </c:pt>
                <c:pt idx="8">
                  <c:v>82.6</c:v>
                </c:pt>
                <c:pt idx="9">
                  <c:v>83.1</c:v>
                </c:pt>
                <c:pt idx="10">
                  <c:v>83.7</c:v>
                </c:pt>
                <c:pt idx="11">
                  <c:v>84.2</c:v>
                </c:pt>
                <c:pt idx="12">
                  <c:v>84.6</c:v>
                </c:pt>
                <c:pt idx="13">
                  <c:v>85.1</c:v>
                </c:pt>
                <c:pt idx="14">
                  <c:v>85.5</c:v>
                </c:pt>
                <c:pt idx="15">
                  <c:v>85.9</c:v>
                </c:pt>
                <c:pt idx="16">
                  <c:v>86.3</c:v>
                </c:pt>
                <c:pt idx="17">
                  <c:v>86.7</c:v>
                </c:pt>
                <c:pt idx="18">
                  <c:v>87.1</c:v>
                </c:pt>
                <c:pt idx="19">
                  <c:v>87.4</c:v>
                </c:pt>
                <c:pt idx="20">
                  <c:v>87.7</c:v>
                </c:pt>
              </c:numCache>
            </c:numRef>
          </c:yVal>
        </c:ser>
        <c:ser>
          <c:idx val="1"/>
          <c:order val="1"/>
          <c:tx>
            <c:v>interpolated sudut-&gt; maxtime</c:v>
          </c:tx>
          <c:xVal>
            <c:numRef>
              <c:f>'(h) e to T'!$F$8:$F$25</c:f>
              <c:numCache>
                <c:formatCode>General</c:formatCode>
                <c:ptCount val="18"/>
                <c:pt idx="0">
                  <c:v>45</c:v>
                </c:pt>
                <c:pt idx="1">
                  <c:v>47.5</c:v>
                </c:pt>
                <c:pt idx="2">
                  <c:v>50</c:v>
                </c:pt>
                <c:pt idx="3">
                  <c:v>52.5</c:v>
                </c:pt>
                <c:pt idx="4">
                  <c:v>55</c:v>
                </c:pt>
                <c:pt idx="5">
                  <c:v>57.5</c:v>
                </c:pt>
                <c:pt idx="6">
                  <c:v>60</c:v>
                </c:pt>
                <c:pt idx="7">
                  <c:v>62.5</c:v>
                </c:pt>
                <c:pt idx="8">
                  <c:v>65</c:v>
                </c:pt>
                <c:pt idx="9">
                  <c:v>67.5</c:v>
                </c:pt>
                <c:pt idx="10">
                  <c:v>70</c:v>
                </c:pt>
                <c:pt idx="11">
                  <c:v>72.5</c:v>
                </c:pt>
                <c:pt idx="12">
                  <c:v>75</c:v>
                </c:pt>
                <c:pt idx="13">
                  <c:v>77.5</c:v>
                </c:pt>
                <c:pt idx="14">
                  <c:v>80</c:v>
                </c:pt>
                <c:pt idx="15">
                  <c:v>82.5</c:v>
                </c:pt>
                <c:pt idx="16">
                  <c:v>85</c:v>
                </c:pt>
                <c:pt idx="17">
                  <c:v>87.5</c:v>
                </c:pt>
              </c:numCache>
            </c:numRef>
          </c:xVal>
          <c:yVal>
            <c:numRef>
              <c:f>'(h) e to T'!$G$8:$G$25</c:f>
              <c:numCache>
                <c:formatCode>General</c:formatCode>
                <c:ptCount val="18"/>
                <c:pt idx="0">
                  <c:v>66.463313953000011</c:v>
                </c:pt>
                <c:pt idx="1">
                  <c:v>69.346188597999998</c:v>
                </c:pt>
                <c:pt idx="2">
                  <c:v>72.095198193000002</c:v>
                </c:pt>
                <c:pt idx="3">
                  <c:v>74.710342738000008</c:v>
                </c:pt>
                <c:pt idx="4">
                  <c:v>77.191622233000004</c:v>
                </c:pt>
                <c:pt idx="5">
                  <c:v>79.539036678000002</c:v>
                </c:pt>
                <c:pt idx="6">
                  <c:v>81.752586073000003</c:v>
                </c:pt>
                <c:pt idx="7">
                  <c:v>83.832270418000007</c:v>
                </c:pt>
                <c:pt idx="8">
                  <c:v>85.778089713000014</c:v>
                </c:pt>
                <c:pt idx="9">
                  <c:v>87.59004395800001</c:v>
                </c:pt>
                <c:pt idx="10">
                  <c:v>89.268133152999994</c:v>
                </c:pt>
                <c:pt idx="11">
                  <c:v>90.812357298000023</c:v>
                </c:pt>
                <c:pt idx="12">
                  <c:v>92.222716393000013</c:v>
                </c:pt>
                <c:pt idx="13">
                  <c:v>93.499210438000006</c:v>
                </c:pt>
                <c:pt idx="14">
                  <c:v>94.641839433000001</c:v>
                </c:pt>
                <c:pt idx="15">
                  <c:v>95.650603378000014</c:v>
                </c:pt>
                <c:pt idx="16">
                  <c:v>96.525502273000001</c:v>
                </c:pt>
                <c:pt idx="17">
                  <c:v>97.266536118000005</c:v>
                </c:pt>
              </c:numCache>
            </c:numRef>
          </c:yVal>
        </c:ser>
        <c:axId val="80896768"/>
        <c:axId val="80898304"/>
      </c:scatterChart>
      <c:valAx>
        <c:axId val="80896768"/>
        <c:scaling>
          <c:orientation val="minMax"/>
          <c:min val="45"/>
        </c:scaling>
        <c:axPos val="b"/>
        <c:numFmt formatCode="General" sourceLinked="1"/>
        <c:tickLblPos val="nextTo"/>
        <c:crossAx val="80898304"/>
        <c:crosses val="autoZero"/>
        <c:crossBetween val="midCat"/>
      </c:valAx>
      <c:valAx>
        <c:axId val="80898304"/>
        <c:scaling>
          <c:orientation val="minMax"/>
          <c:max val="90"/>
          <c:min val="70"/>
        </c:scaling>
        <c:axPos val="l"/>
        <c:majorGridlines/>
        <c:numFmt formatCode="General" sourceLinked="1"/>
        <c:tickLblPos val="nextTo"/>
        <c:crossAx val="8089676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1"/>
          <c:order val="0"/>
          <c:xVal>
            <c:numRef>
              <c:f>ellips!$D$7:$D$27</c:f>
              <c:numCache>
                <c:formatCode>General</c:formatCode>
                <c:ptCount val="21"/>
                <c:pt idx="0">
                  <c:v>76.2</c:v>
                </c:pt>
                <c:pt idx="1">
                  <c:v>77.400000000000006</c:v>
                </c:pt>
                <c:pt idx="2">
                  <c:v>78.400000000000006</c:v>
                </c:pt>
                <c:pt idx="3">
                  <c:v>79.2</c:v>
                </c:pt>
                <c:pt idx="4">
                  <c:v>80.099999999999994</c:v>
                </c:pt>
                <c:pt idx="5">
                  <c:v>80.7</c:v>
                </c:pt>
                <c:pt idx="6">
                  <c:v>81.400000000000006</c:v>
                </c:pt>
                <c:pt idx="7">
                  <c:v>82</c:v>
                </c:pt>
                <c:pt idx="8">
                  <c:v>82.6</c:v>
                </c:pt>
                <c:pt idx="9">
                  <c:v>83.1</c:v>
                </c:pt>
                <c:pt idx="10">
                  <c:v>83.7</c:v>
                </c:pt>
                <c:pt idx="11">
                  <c:v>84.2</c:v>
                </c:pt>
                <c:pt idx="12">
                  <c:v>84.6</c:v>
                </c:pt>
                <c:pt idx="13">
                  <c:v>85.1</c:v>
                </c:pt>
                <c:pt idx="14">
                  <c:v>85.5</c:v>
                </c:pt>
                <c:pt idx="15">
                  <c:v>85.9</c:v>
                </c:pt>
                <c:pt idx="16">
                  <c:v>86.3</c:v>
                </c:pt>
                <c:pt idx="17">
                  <c:v>86.7</c:v>
                </c:pt>
                <c:pt idx="18">
                  <c:v>87.1</c:v>
                </c:pt>
                <c:pt idx="19">
                  <c:v>87.4</c:v>
                </c:pt>
                <c:pt idx="20">
                  <c:v>87.7</c:v>
                </c:pt>
              </c:numCache>
            </c:numRef>
          </c:xVal>
          <c:yVal>
            <c:numRef>
              <c:f>ellips!$I$7:$I$27</c:f>
              <c:numCache>
                <c:formatCode>General</c:formatCode>
                <c:ptCount val="21"/>
                <c:pt idx="0">
                  <c:v>40.071134191999633</c:v>
                </c:pt>
                <c:pt idx="1">
                  <c:v>39.963210655642939</c:v>
                </c:pt>
                <c:pt idx="2">
                  <c:v>39.803441460604922</c:v>
                </c:pt>
                <c:pt idx="3">
                  <c:v>39.627318265848643</c:v>
                </c:pt>
                <c:pt idx="4">
                  <c:v>39.450151198769923</c:v>
                </c:pt>
                <c:pt idx="5">
                  <c:v>39.230881281352694</c:v>
                </c:pt>
                <c:pt idx="6">
                  <c:v>39.011611363935458</c:v>
                </c:pt>
                <c:pt idx="7">
                  <c:v>38.785382297701943</c:v>
                </c:pt>
                <c:pt idx="8">
                  <c:v>38.541407401986902</c:v>
                </c:pt>
                <c:pt idx="9">
                  <c:v>38.297432506271861</c:v>
                </c:pt>
                <c:pt idx="10">
                  <c:v>38.043714802214026</c:v>
                </c:pt>
                <c:pt idx="11">
                  <c:v>37.782342034458267</c:v>
                </c:pt>
                <c:pt idx="12">
                  <c:v>37.520969266702522</c:v>
                </c:pt>
                <c:pt idx="13">
                  <c:v>37.248809818281529</c:v>
                </c:pt>
                <c:pt idx="14">
                  <c:v>36.974562625215661</c:v>
                </c:pt>
                <c:pt idx="15">
                  <c:v>36.698923602386529</c:v>
                </c:pt>
                <c:pt idx="16">
                  <c:v>36.41388972865542</c:v>
                </c:pt>
                <c:pt idx="17">
                  <c:v>36.128855854924304</c:v>
                </c:pt>
                <c:pt idx="18">
                  <c:v>35.841038321666673</c:v>
                </c:pt>
                <c:pt idx="19">
                  <c:v>35.546957554474389</c:v>
                </c:pt>
                <c:pt idx="20">
                  <c:v>35.253224744722928</c:v>
                </c:pt>
              </c:numCache>
            </c:numRef>
          </c:yVal>
        </c:ser>
        <c:axId val="80988032"/>
        <c:axId val="80989568"/>
      </c:scatterChart>
      <c:valAx>
        <c:axId val="80988032"/>
        <c:scaling>
          <c:orientation val="minMax"/>
        </c:scaling>
        <c:axPos val="b"/>
        <c:numFmt formatCode="General" sourceLinked="1"/>
        <c:tickLblPos val="nextTo"/>
        <c:crossAx val="80989568"/>
        <c:crosses val="autoZero"/>
        <c:crossBetween val="midCat"/>
      </c:valAx>
      <c:valAx>
        <c:axId val="80989568"/>
        <c:scaling>
          <c:orientation val="minMax"/>
        </c:scaling>
        <c:axPos val="l"/>
        <c:majorGridlines/>
        <c:numFmt formatCode="General" sourceLinked="1"/>
        <c:tickLblPos val="nextTo"/>
        <c:crossAx val="809880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t -&gt; v</c:v>
          </c:tx>
          <c:trendline>
            <c:trendlineType val="poly"/>
            <c:order val="2"/>
            <c:forward val="10"/>
            <c:backward val="70"/>
          </c:trendline>
          <c:xVal>
            <c:numRef>
              <c:f>ellips!$D$7:$D$27</c:f>
              <c:numCache>
                <c:formatCode>General</c:formatCode>
                <c:ptCount val="21"/>
                <c:pt idx="0">
                  <c:v>76.2</c:v>
                </c:pt>
                <c:pt idx="1">
                  <c:v>77.400000000000006</c:v>
                </c:pt>
                <c:pt idx="2">
                  <c:v>78.400000000000006</c:v>
                </c:pt>
                <c:pt idx="3">
                  <c:v>79.2</c:v>
                </c:pt>
                <c:pt idx="4">
                  <c:v>80.099999999999994</c:v>
                </c:pt>
                <c:pt idx="5">
                  <c:v>80.7</c:v>
                </c:pt>
                <c:pt idx="6">
                  <c:v>81.400000000000006</c:v>
                </c:pt>
                <c:pt idx="7">
                  <c:v>82</c:v>
                </c:pt>
                <c:pt idx="8">
                  <c:v>82.6</c:v>
                </c:pt>
                <c:pt idx="9">
                  <c:v>83.1</c:v>
                </c:pt>
                <c:pt idx="10">
                  <c:v>83.7</c:v>
                </c:pt>
                <c:pt idx="11">
                  <c:v>84.2</c:v>
                </c:pt>
                <c:pt idx="12">
                  <c:v>84.6</c:v>
                </c:pt>
                <c:pt idx="13">
                  <c:v>85.1</c:v>
                </c:pt>
                <c:pt idx="14">
                  <c:v>85.5</c:v>
                </c:pt>
                <c:pt idx="15">
                  <c:v>85.9</c:v>
                </c:pt>
                <c:pt idx="16">
                  <c:v>86.3</c:v>
                </c:pt>
                <c:pt idx="17">
                  <c:v>86.7</c:v>
                </c:pt>
                <c:pt idx="18">
                  <c:v>87.1</c:v>
                </c:pt>
                <c:pt idx="19">
                  <c:v>87.4</c:v>
                </c:pt>
                <c:pt idx="20">
                  <c:v>87.7</c:v>
                </c:pt>
              </c:numCache>
            </c:numRef>
          </c:xVal>
          <c:yVal>
            <c:numRef>
              <c:f>ellips!$J$7:$J$27</c:f>
              <c:numCache>
                <c:formatCode>General</c:formatCode>
                <c:ptCount val="21"/>
                <c:pt idx="0">
                  <c:v>0.52586790278214735</c:v>
                </c:pt>
                <c:pt idx="1">
                  <c:v>0.51632055110649788</c:v>
                </c:pt>
                <c:pt idx="2">
                  <c:v>0.507696957405675</c:v>
                </c:pt>
                <c:pt idx="3">
                  <c:v>0.50034492759909899</c:v>
                </c:pt>
                <c:pt idx="4">
                  <c:v>0.49251125092097287</c:v>
                </c:pt>
                <c:pt idx="5">
                  <c:v>0.48613235788541131</c:v>
                </c:pt>
                <c:pt idx="6">
                  <c:v>0.47925812486407193</c:v>
                </c:pt>
                <c:pt idx="7">
                  <c:v>0.47299246704514564</c:v>
                </c:pt>
                <c:pt idx="8">
                  <c:v>0.46660299518143955</c:v>
                </c:pt>
                <c:pt idx="9">
                  <c:v>0.46085959694671313</c:v>
                </c:pt>
                <c:pt idx="10">
                  <c:v>0.45452466908260486</c:v>
                </c:pt>
                <c:pt idx="11">
                  <c:v>0.44872140183442122</c:v>
                </c:pt>
                <c:pt idx="12">
                  <c:v>0.44351027502012441</c:v>
                </c:pt>
                <c:pt idx="13">
                  <c:v>0.43770634334055852</c:v>
                </c:pt>
                <c:pt idx="14">
                  <c:v>0.43245102485632353</c:v>
                </c:pt>
                <c:pt idx="15">
                  <c:v>0.42722844705921453</c:v>
                </c:pt>
                <c:pt idx="16">
                  <c:v>0.42194541979901995</c:v>
                </c:pt>
                <c:pt idx="17">
                  <c:v>0.41671114019520533</c:v>
                </c:pt>
                <c:pt idx="18">
                  <c:v>0.4114929772866438</c:v>
                </c:pt>
                <c:pt idx="19">
                  <c:v>0.40671576149284194</c:v>
                </c:pt>
                <c:pt idx="20">
                  <c:v>0.40197519663310066</c:v>
                </c:pt>
              </c:numCache>
            </c:numRef>
          </c:yVal>
        </c:ser>
        <c:axId val="81014144"/>
        <c:axId val="81020032"/>
      </c:scatterChart>
      <c:valAx>
        <c:axId val="81014144"/>
        <c:scaling>
          <c:orientation val="minMax"/>
        </c:scaling>
        <c:axPos val="b"/>
        <c:numFmt formatCode="General" sourceLinked="1"/>
        <c:tickLblPos val="nextTo"/>
        <c:crossAx val="81020032"/>
        <c:crosses val="autoZero"/>
        <c:crossBetween val="midCat"/>
      </c:valAx>
      <c:valAx>
        <c:axId val="81020032"/>
        <c:scaling>
          <c:orientation val="minMax"/>
        </c:scaling>
        <c:axPos val="l"/>
        <c:majorGridlines/>
        <c:numFmt formatCode="General" sourceLinked="1"/>
        <c:tickLblPos val="nextTo"/>
        <c:crossAx val="81014144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2198769271488107E-2"/>
          <c:y val="4.2416503094706341E-2"/>
          <c:w val="0.84722005337568163"/>
          <c:h val="0.91516699381058741"/>
        </c:manualLayout>
      </c:layout>
      <c:scatterChart>
        <c:scatterStyle val="lineMarker"/>
        <c:ser>
          <c:idx val="0"/>
          <c:order val="0"/>
          <c:trendline>
            <c:trendlineType val="poly"/>
            <c:order val="3"/>
            <c:forward val="3"/>
            <c:backward val="1"/>
            <c:dispRSqr val="1"/>
            <c:dispEq val="1"/>
            <c:trendlineLbl>
              <c:layout>
                <c:manualLayout>
                  <c:x val="6.7226890756302518E-2"/>
                  <c:y val="7.2492084621227576E-3"/>
                </c:manualLayout>
              </c:layout>
              <c:numFmt formatCode="@" sourceLinked="0"/>
            </c:trendlineLbl>
          </c:trendline>
          <c:xVal>
            <c:numRef>
              <c:f>'low range to time'!$C$4:$C$21</c:f>
              <c:numCache>
                <c:formatCode>General</c:formatCode>
                <c:ptCount val="18"/>
                <c:pt idx="0">
                  <c:v>0</c:v>
                </c:pt>
                <c:pt idx="1">
                  <c:v>1.0488088481701516</c:v>
                </c:pt>
                <c:pt idx="2">
                  <c:v>1.51657508881031</c:v>
                </c:pt>
                <c:pt idx="3">
                  <c:v>1.9235384061671346</c:v>
                </c:pt>
                <c:pt idx="4">
                  <c:v>2.3237900077244502</c:v>
                </c:pt>
                <c:pt idx="5">
                  <c:v>2.7018512172212592</c:v>
                </c:pt>
                <c:pt idx="6">
                  <c:v>3.0983866769659336</c:v>
                </c:pt>
                <c:pt idx="7">
                  <c:v>3.4928498393145961</c:v>
                </c:pt>
                <c:pt idx="8">
                  <c:v>3.8987177379235853</c:v>
                </c:pt>
                <c:pt idx="9">
                  <c:v>4.2778499272414878</c:v>
                </c:pt>
                <c:pt idx="10">
                  <c:v>4.636809247747852</c:v>
                </c:pt>
                <c:pt idx="11">
                  <c:v>5</c:v>
                </c:pt>
                <c:pt idx="12">
                  <c:v>5.3665631459994954</c:v>
                </c:pt>
                <c:pt idx="13">
                  <c:v>5.727128425310541</c:v>
                </c:pt>
                <c:pt idx="14">
                  <c:v>6.0991802727907629</c:v>
                </c:pt>
                <c:pt idx="15">
                  <c:v>6.4961527075646863</c:v>
                </c:pt>
                <c:pt idx="16">
                  <c:v>6.9282032302755088</c:v>
                </c:pt>
                <c:pt idx="17">
                  <c:v>7.469939758793239</c:v>
                </c:pt>
              </c:numCache>
            </c:numRef>
          </c:xVal>
          <c:yVal>
            <c:numRef>
              <c:f>'low range to time'!$D$4:$D$21</c:f>
              <c:numCache>
                <c:formatCode>General</c:formatCode>
                <c:ptCount val="18"/>
                <c:pt idx="0">
                  <c:v>0</c:v>
                </c:pt>
                <c:pt idx="1">
                  <c:v>0.91439999999999999</c:v>
                </c:pt>
                <c:pt idx="2">
                  <c:v>1.8288</c:v>
                </c:pt>
                <c:pt idx="3">
                  <c:v>2.7431999999999999</c:v>
                </c:pt>
                <c:pt idx="4">
                  <c:v>3.6576</c:v>
                </c:pt>
                <c:pt idx="5">
                  <c:v>4.5720000000000001</c:v>
                </c:pt>
                <c:pt idx="6">
                  <c:v>5.4863999999999997</c:v>
                </c:pt>
                <c:pt idx="7">
                  <c:v>6.4008000000000003</c:v>
                </c:pt>
                <c:pt idx="8">
                  <c:v>7.3151999999999999</c:v>
                </c:pt>
                <c:pt idx="9">
                  <c:v>8.2295999999999996</c:v>
                </c:pt>
                <c:pt idx="10">
                  <c:v>9.1440000000000001</c:v>
                </c:pt>
                <c:pt idx="11">
                  <c:v>10.058399999999999</c:v>
                </c:pt>
                <c:pt idx="12">
                  <c:v>10.972799999999999</c:v>
                </c:pt>
                <c:pt idx="13">
                  <c:v>11.887199999999998</c:v>
                </c:pt>
                <c:pt idx="14">
                  <c:v>12.801600000000001</c:v>
                </c:pt>
                <c:pt idx="15">
                  <c:v>13.715999999999999</c:v>
                </c:pt>
                <c:pt idx="16">
                  <c:v>14.6304</c:v>
                </c:pt>
                <c:pt idx="17">
                  <c:v>15.544799999999999</c:v>
                </c:pt>
              </c:numCache>
            </c:numRef>
          </c:yVal>
        </c:ser>
        <c:axId val="81101952"/>
        <c:axId val="81103488"/>
      </c:scatterChart>
      <c:valAx>
        <c:axId val="81101952"/>
        <c:scaling>
          <c:orientation val="minMax"/>
        </c:scaling>
        <c:axPos val="b"/>
        <c:numFmt formatCode="General" sourceLinked="1"/>
        <c:tickLblPos val="nextTo"/>
        <c:crossAx val="81103488"/>
        <c:crosses val="autoZero"/>
        <c:crossBetween val="midCat"/>
      </c:valAx>
      <c:valAx>
        <c:axId val="81103488"/>
        <c:scaling>
          <c:orientation val="minMax"/>
        </c:scaling>
        <c:axPos val="l"/>
        <c:majorGridlines/>
        <c:numFmt formatCode="General" sourceLinked="1"/>
        <c:tickLblPos val="nextTo"/>
        <c:crossAx val="8110195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range to time</c:v>
          </c:tx>
          <c:trendline>
            <c:trendlineType val="poly"/>
            <c:order val="3"/>
            <c:forward val="1"/>
            <c:backward val="1"/>
            <c:dispRSqr val="1"/>
            <c:dispEq val="1"/>
            <c:trendlineLbl>
              <c:layout>
                <c:manualLayout>
                  <c:x val="0.38611111111111118"/>
                  <c:y val="0.42093722659667543"/>
                </c:manualLayout>
              </c:layout>
              <c:numFmt formatCode="@" sourceLinked="0"/>
            </c:trendlineLbl>
          </c:trendline>
          <c:xVal>
            <c:numRef>
              <c:f>'low range to time'!$D$5:$D$21</c:f>
              <c:numCache>
                <c:formatCode>General</c:formatCode>
                <c:ptCount val="17"/>
                <c:pt idx="0">
                  <c:v>0.91439999999999999</c:v>
                </c:pt>
                <c:pt idx="1">
                  <c:v>1.8288</c:v>
                </c:pt>
                <c:pt idx="2">
                  <c:v>2.7431999999999999</c:v>
                </c:pt>
                <c:pt idx="3">
                  <c:v>3.6576</c:v>
                </c:pt>
                <c:pt idx="4">
                  <c:v>4.5720000000000001</c:v>
                </c:pt>
                <c:pt idx="5">
                  <c:v>5.4863999999999997</c:v>
                </c:pt>
                <c:pt idx="6">
                  <c:v>6.4008000000000003</c:v>
                </c:pt>
                <c:pt idx="7">
                  <c:v>7.3151999999999999</c:v>
                </c:pt>
                <c:pt idx="8">
                  <c:v>8.2295999999999996</c:v>
                </c:pt>
                <c:pt idx="9">
                  <c:v>9.1440000000000001</c:v>
                </c:pt>
                <c:pt idx="10">
                  <c:v>10.058399999999999</c:v>
                </c:pt>
                <c:pt idx="11">
                  <c:v>10.972799999999999</c:v>
                </c:pt>
                <c:pt idx="12">
                  <c:v>11.887199999999998</c:v>
                </c:pt>
                <c:pt idx="13">
                  <c:v>12.801600000000001</c:v>
                </c:pt>
                <c:pt idx="14">
                  <c:v>13.715999999999999</c:v>
                </c:pt>
                <c:pt idx="15">
                  <c:v>14.6304</c:v>
                </c:pt>
                <c:pt idx="16">
                  <c:v>15.544799999999999</c:v>
                </c:pt>
              </c:numCache>
            </c:numRef>
          </c:xVal>
          <c:yVal>
            <c:numRef>
              <c:f>'low range to time'!$C$5:$C$21</c:f>
              <c:numCache>
                <c:formatCode>General</c:formatCode>
                <c:ptCount val="17"/>
                <c:pt idx="0">
                  <c:v>1.0488088481701516</c:v>
                </c:pt>
                <c:pt idx="1">
                  <c:v>1.51657508881031</c:v>
                </c:pt>
                <c:pt idx="2">
                  <c:v>1.9235384061671346</c:v>
                </c:pt>
                <c:pt idx="3">
                  <c:v>2.3237900077244502</c:v>
                </c:pt>
                <c:pt idx="4">
                  <c:v>2.7018512172212592</c:v>
                </c:pt>
                <c:pt idx="5">
                  <c:v>3.0983866769659336</c:v>
                </c:pt>
                <c:pt idx="6">
                  <c:v>3.4928498393145961</c:v>
                </c:pt>
                <c:pt idx="7">
                  <c:v>3.8987177379235853</c:v>
                </c:pt>
                <c:pt idx="8">
                  <c:v>4.2778499272414878</c:v>
                </c:pt>
                <c:pt idx="9">
                  <c:v>4.636809247747852</c:v>
                </c:pt>
                <c:pt idx="10">
                  <c:v>5</c:v>
                </c:pt>
                <c:pt idx="11">
                  <c:v>5.3665631459994954</c:v>
                </c:pt>
                <c:pt idx="12">
                  <c:v>5.727128425310541</c:v>
                </c:pt>
                <c:pt idx="13">
                  <c:v>6.0991802727907629</c:v>
                </c:pt>
                <c:pt idx="14">
                  <c:v>6.4961527075646863</c:v>
                </c:pt>
                <c:pt idx="15">
                  <c:v>6.9282032302755088</c:v>
                </c:pt>
                <c:pt idx="16">
                  <c:v>7.469939758793239</c:v>
                </c:pt>
              </c:numCache>
            </c:numRef>
          </c:yVal>
        </c:ser>
        <c:axId val="81119872"/>
        <c:axId val="81125760"/>
      </c:scatterChart>
      <c:valAx>
        <c:axId val="81119872"/>
        <c:scaling>
          <c:orientation val="minMax"/>
        </c:scaling>
        <c:axPos val="b"/>
        <c:numFmt formatCode="General" sourceLinked="1"/>
        <c:tickLblPos val="nextTo"/>
        <c:crossAx val="81125760"/>
        <c:crosses val="autoZero"/>
        <c:crossBetween val="midCat"/>
      </c:valAx>
      <c:valAx>
        <c:axId val="81125760"/>
        <c:scaling>
          <c:orientation val="minMax"/>
        </c:scaling>
        <c:axPos val="l"/>
        <c:majorGridlines/>
        <c:numFmt formatCode="General" sourceLinked="1"/>
        <c:tickLblPos val="nextTo"/>
        <c:crossAx val="8111987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elevasi -&gt; jarak max (LOW)</a:t>
            </a:r>
          </a:p>
        </c:rich>
      </c:tx>
      <c:layout>
        <c:manualLayout>
          <c:xMode val="edge"/>
          <c:yMode val="edge"/>
          <c:x val="0.21281255468066493"/>
          <c:y val="2.3148148148148147E-2"/>
        </c:manualLayout>
      </c:layout>
    </c:title>
    <c:plotArea>
      <c:layout>
        <c:manualLayout>
          <c:layoutTarget val="inner"/>
          <c:xMode val="edge"/>
          <c:yMode val="edge"/>
          <c:x val="9.1349551131661086E-2"/>
          <c:y val="0.19156736448096151"/>
          <c:w val="0.83051159230096228"/>
          <c:h val="0.65482210557013765"/>
        </c:manualLayout>
      </c:layout>
      <c:scatterChart>
        <c:scatterStyle val="lineMarker"/>
        <c:ser>
          <c:idx val="0"/>
          <c:order val="0"/>
          <c:tx>
            <c:v>elevasi -&gt; jarak (LOW)</c:v>
          </c:tx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19210974242023701"/>
                  <c:y val="0.28527857572597115"/>
                </c:manualLayout>
              </c:layout>
              <c:numFmt formatCode="@" sourceLinked="0"/>
            </c:trendlineLbl>
          </c:trendline>
          <c:xVal>
            <c:numRef>
              <c:f>'low low'!$D$5:$D$21</c:f>
              <c:numCache>
                <c:formatCode>General</c:formatCode>
                <c:ptCount val="17"/>
                <c:pt idx="0">
                  <c:v>0.10233173562607932</c:v>
                </c:pt>
                <c:pt idx="1">
                  <c:v>0.16709769215512488</c:v>
                </c:pt>
                <c:pt idx="2">
                  <c:v>0.21298588715981578</c:v>
                </c:pt>
                <c:pt idx="3">
                  <c:v>0.25743717757930795</c:v>
                </c:pt>
                <c:pt idx="4">
                  <c:v>0.3010524542297906</c:v>
                </c:pt>
                <c:pt idx="5">
                  <c:v>0.35402434035572222</c:v>
                </c:pt>
                <c:pt idx="6">
                  <c:v>0.40837329334336037</c:v>
                </c:pt>
                <c:pt idx="7">
                  <c:v>0.46705807068986888</c:v>
                </c:pt>
                <c:pt idx="8">
                  <c:v>0.52501176731288524</c:v>
                </c:pt>
                <c:pt idx="9">
                  <c:v>0.58762079524003796</c:v>
                </c:pt>
                <c:pt idx="10">
                  <c:v>0.64519825810397324</c:v>
                </c:pt>
                <c:pt idx="11">
                  <c:v>0.70496380121787483</c:v>
                </c:pt>
                <c:pt idx="12">
                  <c:v>0.76296983567981858</c:v>
                </c:pt>
                <c:pt idx="13">
                  <c:v>0.81800403810669431</c:v>
                </c:pt>
                <c:pt idx="14">
                  <c:v>0.87266162258732149</c:v>
                </c:pt>
                <c:pt idx="15">
                  <c:v>0.92485904880717185</c:v>
                </c:pt>
                <c:pt idx="16">
                  <c:v>0.97466509711010607</c:v>
                </c:pt>
              </c:numCache>
            </c:numRef>
          </c:xVal>
          <c:yVal>
            <c:numRef>
              <c:f>'low low'!$C$5:$C$21</c:f>
              <c:numCache>
                <c:formatCode>General</c:formatCode>
                <c:ptCount val="17"/>
                <c:pt idx="0">
                  <c:v>0.91439999999999999</c:v>
                </c:pt>
                <c:pt idx="1">
                  <c:v>1.8288</c:v>
                </c:pt>
                <c:pt idx="2">
                  <c:v>2.7431999999999999</c:v>
                </c:pt>
                <c:pt idx="3">
                  <c:v>3.6576</c:v>
                </c:pt>
                <c:pt idx="4">
                  <c:v>4.5720000000000001</c:v>
                </c:pt>
                <c:pt idx="5">
                  <c:v>5.4863999999999997</c:v>
                </c:pt>
                <c:pt idx="6">
                  <c:v>6.4008000000000003</c:v>
                </c:pt>
                <c:pt idx="7">
                  <c:v>7.3151999999999999</c:v>
                </c:pt>
                <c:pt idx="8">
                  <c:v>8.2296000000000014</c:v>
                </c:pt>
                <c:pt idx="9">
                  <c:v>9.1440000000000001</c:v>
                </c:pt>
                <c:pt idx="10">
                  <c:v>10.058400000000001</c:v>
                </c:pt>
                <c:pt idx="11">
                  <c:v>10.972799999999999</c:v>
                </c:pt>
                <c:pt idx="12">
                  <c:v>11.8872</c:v>
                </c:pt>
                <c:pt idx="13">
                  <c:v>12.801600000000001</c:v>
                </c:pt>
                <c:pt idx="14">
                  <c:v>13.716000000000001</c:v>
                </c:pt>
                <c:pt idx="15">
                  <c:v>14.6304</c:v>
                </c:pt>
                <c:pt idx="16">
                  <c:v>15.5448</c:v>
                </c:pt>
              </c:numCache>
            </c:numRef>
          </c:yVal>
        </c:ser>
        <c:axId val="81171584"/>
        <c:axId val="81173120"/>
      </c:scatterChart>
      <c:valAx>
        <c:axId val="81171584"/>
        <c:scaling>
          <c:orientation val="minMax"/>
          <c:min val="0"/>
        </c:scaling>
        <c:axPos val="b"/>
        <c:numFmt formatCode="General" sourceLinked="1"/>
        <c:tickLblPos val="nextTo"/>
        <c:crossAx val="81173120"/>
        <c:crosses val="autoZero"/>
        <c:crossBetween val="midCat"/>
      </c:valAx>
      <c:valAx>
        <c:axId val="81173120"/>
        <c:scaling>
          <c:orientation val="minMax"/>
        </c:scaling>
        <c:axPos val="l"/>
        <c:majorGridlines/>
        <c:numFmt formatCode="General" sourceLinked="1"/>
        <c:tickLblPos val="nextTo"/>
        <c:crossAx val="811715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86111111111301"/>
          <c:y val="0.20056321084864395"/>
          <c:w val="0.33313888888889126"/>
          <c:h val="0.27005395158938467"/>
        </c:manualLayout>
      </c:layout>
    </c:legend>
    <c:plotVisOnly val="1"/>
  </c:chart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>
        <c:manualLayout>
          <c:layoutTarget val="inner"/>
          <c:xMode val="edge"/>
          <c:yMode val="edge"/>
          <c:x val="0.10000218722659669"/>
          <c:y val="0.19548227203306903"/>
          <c:w val="0.81028937007874013"/>
          <c:h val="0.72939394770775556"/>
        </c:manualLayout>
      </c:layout>
      <c:scatterChart>
        <c:scatterStyle val="lineMarker"/>
        <c:ser>
          <c:idx val="0"/>
          <c:order val="0"/>
          <c:tx>
            <c:v>sin a: tertinggi</c:v>
          </c:tx>
          <c:trendline>
            <c:trendlineType val="poly"/>
            <c:order val="2"/>
            <c:forward val="0.30000000000000032"/>
            <c:dispRSqr val="1"/>
            <c:dispEq val="1"/>
            <c:trendlineLbl>
              <c:layout>
                <c:manualLayout>
                  <c:x val="-4.8900043744531926E-2"/>
                  <c:y val="-3.6032081355684219E-4"/>
                </c:manualLayout>
              </c:layout>
              <c:numFmt formatCode="@" sourceLinked="0"/>
            </c:trendlineLbl>
          </c:trendline>
          <c:xVal>
            <c:numRef>
              <c:f>'low low'!$D$27:$D$43</c:f>
              <c:numCache>
                <c:formatCode>General</c:formatCode>
                <c:ptCount val="17"/>
                <c:pt idx="0">
                  <c:v>5.2359638314195796E-3</c:v>
                </c:pt>
                <c:pt idx="1">
                  <c:v>1.3962180339145272E-2</c:v>
                </c:pt>
                <c:pt idx="2">
                  <c:v>2.2687333572781358E-2</c:v>
                </c:pt>
                <c:pt idx="3">
                  <c:v>3.3155178388526274E-2</c:v>
                </c:pt>
                <c:pt idx="4">
                  <c:v>4.5362988129253781E-2</c:v>
                </c:pt>
                <c:pt idx="5">
                  <c:v>6.2790519529313374E-2</c:v>
                </c:pt>
                <c:pt idx="6">
                  <c:v>8.3677843332315482E-2</c:v>
                </c:pt>
                <c:pt idx="7">
                  <c:v>0.10973431109104527</c:v>
                </c:pt>
                <c:pt idx="8">
                  <c:v>0.13917310096006544</c:v>
                </c:pt>
                <c:pt idx="9">
                  <c:v>0.17536672609198711</c:v>
                </c:pt>
                <c:pt idx="10">
                  <c:v>0.21303038627497659</c:v>
                </c:pt>
                <c:pt idx="11">
                  <c:v>0.25713279315469623</c:v>
                </c:pt>
                <c:pt idx="12">
                  <c:v>0.30569530496310565</c:v>
                </c:pt>
                <c:pt idx="13">
                  <c:v>0.35836794954530027</c:v>
                </c:pt>
                <c:pt idx="14">
                  <c:v>0.4194520824461771</c:v>
                </c:pt>
                <c:pt idx="15">
                  <c:v>0.49090375361514077</c:v>
                </c:pt>
                <c:pt idx="16">
                  <c:v>0.58637235673578925</c:v>
                </c:pt>
              </c:numCache>
            </c:numRef>
          </c:xVal>
          <c:yVal>
            <c:numRef>
              <c:f>'low low'!$C$27:$C$43</c:f>
              <c:numCache>
                <c:formatCode>General</c:formatCode>
                <c:ptCount val="17"/>
                <c:pt idx="0">
                  <c:v>1.524E-3</c:v>
                </c:pt>
                <c:pt idx="1">
                  <c:v>6.7056000000000008E-3</c:v>
                </c:pt>
                <c:pt idx="2">
                  <c:v>1.7373599999999999E-2</c:v>
                </c:pt>
                <c:pt idx="3">
                  <c:v>3.5966400000000003E-2</c:v>
                </c:pt>
                <c:pt idx="4">
                  <c:v>6.6141599999999995E-2</c:v>
                </c:pt>
                <c:pt idx="5">
                  <c:v>0.11308080000000001</c:v>
                </c:pt>
                <c:pt idx="6">
                  <c:v>0.18684239999999999</c:v>
                </c:pt>
                <c:pt idx="7">
                  <c:v>0.294132</c:v>
                </c:pt>
                <c:pt idx="8">
                  <c:v>0.43982640000000006</c:v>
                </c:pt>
                <c:pt idx="9">
                  <c:v>0.62697360000000002</c:v>
                </c:pt>
                <c:pt idx="10">
                  <c:v>0.86014560000000007</c:v>
                </c:pt>
                <c:pt idx="11">
                  <c:v>1.1469624</c:v>
                </c:pt>
                <c:pt idx="12">
                  <c:v>1.4962632000000002</c:v>
                </c:pt>
                <c:pt idx="13">
                  <c:v>1.9245072000000001</c:v>
                </c:pt>
                <c:pt idx="14">
                  <c:v>2.4588216000000003</c:v>
                </c:pt>
                <c:pt idx="15">
                  <c:v>3.1629095999999999</c:v>
                </c:pt>
                <c:pt idx="16">
                  <c:v>4.2129456000000003</c:v>
                </c:pt>
              </c:numCache>
            </c:numRef>
          </c:yVal>
        </c:ser>
        <c:axId val="81198080"/>
        <c:axId val="81347328"/>
      </c:scatterChart>
      <c:valAx>
        <c:axId val="81198080"/>
        <c:scaling>
          <c:orientation val="minMax"/>
        </c:scaling>
        <c:axPos val="b"/>
        <c:numFmt formatCode="General" sourceLinked="1"/>
        <c:tickLblPos val="nextTo"/>
        <c:crossAx val="81347328"/>
        <c:crosses val="autoZero"/>
        <c:crossBetween val="midCat"/>
      </c:valAx>
      <c:valAx>
        <c:axId val="81347328"/>
        <c:scaling>
          <c:orientation val="minMax"/>
        </c:scaling>
        <c:axPos val="l"/>
        <c:majorGridlines/>
        <c:numFmt formatCode="General" sourceLinked="1"/>
        <c:tickLblPos val="nextTo"/>
        <c:crossAx val="81198080"/>
        <c:crosses val="autoZero"/>
        <c:crossBetween val="midCat"/>
      </c:valAx>
      <c:spPr>
        <a:solidFill>
          <a:schemeClr val="accent6">
            <a:lumMod val="40000"/>
            <a:lumOff val="60000"/>
          </a:schemeClr>
        </a:solidFill>
      </c:spPr>
    </c:plotArea>
    <c:legend>
      <c:legendPos val="r"/>
    </c:legend>
    <c:plotVisOnly val="1"/>
  </c:chart>
  <c:spPr>
    <a:solidFill>
      <a:schemeClr val="accent6">
        <a:lumMod val="20000"/>
        <a:lumOff val="80000"/>
      </a:schemeClr>
    </a:solidFill>
  </c:sp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v>h: range to time</c:v>
          </c:tx>
          <c:trendline>
            <c:trendlineType val="poly"/>
            <c:order val="2"/>
            <c:forward val="3"/>
            <c:backward val="10"/>
            <c:dispRSqr val="1"/>
            <c:dispEq val="1"/>
            <c:trendlineLbl>
              <c:layout>
                <c:manualLayout>
                  <c:x val="0.43366863517060378"/>
                  <c:y val="0.44458005249343829"/>
                </c:manualLayout>
              </c:layout>
              <c:numFmt formatCode="0.0000000000000000E+00" sourceLinked="0"/>
            </c:trendlineLbl>
          </c:trendline>
          <c:xVal>
            <c:numRef>
              <c:f>'(h) r To T'!$C$4:$C$24</c:f>
              <c:numCache>
                <c:formatCode>General</c:formatCode>
                <c:ptCount val="21"/>
                <c:pt idx="0">
                  <c:v>15.727679999999999</c:v>
                </c:pt>
                <c:pt idx="1">
                  <c:v>15.5448</c:v>
                </c:pt>
                <c:pt idx="2">
                  <c:v>15.36192</c:v>
                </c:pt>
                <c:pt idx="3">
                  <c:v>15.179040000000001</c:v>
                </c:pt>
                <c:pt idx="4">
                  <c:v>14.996159999999998</c:v>
                </c:pt>
                <c:pt idx="5">
                  <c:v>14.813279999999999</c:v>
                </c:pt>
                <c:pt idx="6">
                  <c:v>14.6304</c:v>
                </c:pt>
                <c:pt idx="7">
                  <c:v>14.447520000000001</c:v>
                </c:pt>
                <c:pt idx="8">
                  <c:v>14.26464</c:v>
                </c:pt>
                <c:pt idx="9">
                  <c:v>14.081760000000001</c:v>
                </c:pt>
                <c:pt idx="10">
                  <c:v>13.89888</c:v>
                </c:pt>
                <c:pt idx="11">
                  <c:v>13.716000000000001</c:v>
                </c:pt>
                <c:pt idx="12">
                  <c:v>13.53312</c:v>
                </c:pt>
                <c:pt idx="13">
                  <c:v>13.350239999999999</c:v>
                </c:pt>
                <c:pt idx="14">
                  <c:v>13.16736</c:v>
                </c:pt>
                <c:pt idx="15">
                  <c:v>12.98448</c:v>
                </c:pt>
                <c:pt idx="16">
                  <c:v>12.801600000000001</c:v>
                </c:pt>
                <c:pt idx="17">
                  <c:v>12.618720000000001</c:v>
                </c:pt>
                <c:pt idx="18">
                  <c:v>12.435840000000001</c:v>
                </c:pt>
                <c:pt idx="19">
                  <c:v>12.25296</c:v>
                </c:pt>
                <c:pt idx="20">
                  <c:v>12.070080000000001</c:v>
                </c:pt>
              </c:numCache>
            </c:numRef>
          </c:xVal>
          <c:yVal>
            <c:numRef>
              <c:f>'(h) r To T'!$F$4:$F$24</c:f>
              <c:numCache>
                <c:formatCode>General</c:formatCode>
                <c:ptCount val="21"/>
                <c:pt idx="0">
                  <c:v>8.7292611371180779</c:v>
                </c:pt>
                <c:pt idx="1">
                  <c:v>8.7977269791691093</c:v>
                </c:pt>
                <c:pt idx="2">
                  <c:v>8.8543774484714621</c:v>
                </c:pt>
                <c:pt idx="3">
                  <c:v>8.8994381845147963</c:v>
                </c:pt>
                <c:pt idx="4">
                  <c:v>8.9498603341057787</c:v>
                </c:pt>
                <c:pt idx="5">
                  <c:v>8.9833178725902822</c:v>
                </c:pt>
                <c:pt idx="6">
                  <c:v>9.0221948549119695</c:v>
                </c:pt>
                <c:pt idx="7">
                  <c:v>9.0553851381374173</c:v>
                </c:pt>
                <c:pt idx="8">
                  <c:v>9.0884542140014108</c:v>
                </c:pt>
                <c:pt idx="9">
                  <c:v>9.1159201400626575</c:v>
                </c:pt>
                <c:pt idx="10">
                  <c:v>9.1487704091861435</c:v>
                </c:pt>
                <c:pt idx="11">
                  <c:v>9.1760557975635706</c:v>
                </c:pt>
                <c:pt idx="12">
                  <c:v>9.1978258300535352</c:v>
                </c:pt>
                <c:pt idx="13">
                  <c:v>9.2249661245990495</c:v>
                </c:pt>
                <c:pt idx="14">
                  <c:v>9.2466210044534645</c:v>
                </c:pt>
                <c:pt idx="15">
                  <c:v>9.2682252885868071</c:v>
                </c:pt>
                <c:pt idx="16">
                  <c:v>9.2897793299948734</c:v>
                </c:pt>
                <c:pt idx="17">
                  <c:v>9.3112834775878248</c:v>
                </c:pt>
                <c:pt idx="18">
                  <c:v>9.3327380762560779</c:v>
                </c:pt>
                <c:pt idx="19">
                  <c:v>9.3487967140161956</c:v>
                </c:pt>
                <c:pt idx="20">
                  <c:v>9.3648278147545252</c:v>
                </c:pt>
              </c:numCache>
            </c:numRef>
          </c:yVal>
        </c:ser>
        <c:axId val="81842560"/>
        <c:axId val="81844096"/>
      </c:scatterChart>
      <c:valAx>
        <c:axId val="81842560"/>
        <c:scaling>
          <c:orientation val="minMax"/>
        </c:scaling>
        <c:axPos val="b"/>
        <c:numFmt formatCode="General" sourceLinked="1"/>
        <c:tickLblPos val="nextTo"/>
        <c:crossAx val="81844096"/>
        <c:crosses val="autoZero"/>
        <c:crossBetween val="midCat"/>
      </c:valAx>
      <c:valAx>
        <c:axId val="81844096"/>
        <c:scaling>
          <c:orientation val="minMax"/>
        </c:scaling>
        <c:axPos val="l"/>
        <c:majorGridlines/>
        <c:numFmt formatCode="General" sourceLinked="1"/>
        <c:tickLblPos val="nextTo"/>
        <c:crossAx val="818425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21167</xdr:colOff>
      <xdr:row>1</xdr:row>
      <xdr:rowOff>173566</xdr:rowOff>
    </xdr:from>
    <xdr:to>
      <xdr:col>18</xdr:col>
      <xdr:colOff>10583</xdr:colOff>
      <xdr:row>23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523873</xdr:colOff>
      <xdr:row>26</xdr:row>
      <xdr:rowOff>13758</xdr:rowOff>
    </xdr:from>
    <xdr:to>
      <xdr:col>17</xdr:col>
      <xdr:colOff>506940</xdr:colOff>
      <xdr:row>48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52</xdr:row>
      <xdr:rowOff>47624</xdr:rowOff>
    </xdr:from>
    <xdr:to>
      <xdr:col>17</xdr:col>
      <xdr:colOff>603250</xdr:colOff>
      <xdr:row>71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161924</xdr:colOff>
      <xdr:row>75</xdr:row>
      <xdr:rowOff>61913</xdr:rowOff>
    </xdr:from>
    <xdr:to>
      <xdr:col>18</xdr:col>
      <xdr:colOff>144991</xdr:colOff>
      <xdr:row>97</xdr:row>
      <xdr:rowOff>124355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485776</xdr:colOff>
      <xdr:row>24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592667</xdr:colOff>
      <xdr:row>30</xdr:row>
      <xdr:rowOff>115358</xdr:rowOff>
    </xdr:from>
    <xdr:to>
      <xdr:col>18</xdr:col>
      <xdr:colOff>397933</xdr:colOff>
      <xdr:row>48</xdr:row>
      <xdr:rowOff>74084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33</xdr:row>
      <xdr:rowOff>21430</xdr:rowOff>
    </xdr:from>
    <xdr:to>
      <xdr:col>19</xdr:col>
      <xdr:colOff>187325</xdr:colOff>
      <xdr:row>61</xdr:row>
      <xdr:rowOff>78581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6350</xdr:colOff>
      <xdr:row>6</xdr:row>
      <xdr:rowOff>0</xdr:rowOff>
    </xdr:from>
    <xdr:to>
      <xdr:col>18</xdr:col>
      <xdr:colOff>434976</xdr:colOff>
      <xdr:row>26</xdr:row>
      <xdr:rowOff>38099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9525</xdr:rowOff>
    </xdr:from>
    <xdr:to>
      <xdr:col>19</xdr:col>
      <xdr:colOff>334434</xdr:colOff>
      <xdr:row>18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16934</xdr:colOff>
      <xdr:row>19</xdr:row>
      <xdr:rowOff>129116</xdr:rowOff>
    </xdr:from>
    <xdr:to>
      <xdr:col>19</xdr:col>
      <xdr:colOff>321734</xdr:colOff>
      <xdr:row>34</xdr:row>
      <xdr:rowOff>12700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5</xdr:row>
      <xdr:rowOff>85725</xdr:rowOff>
    </xdr:from>
    <xdr:to>
      <xdr:col>16</xdr:col>
      <xdr:colOff>314325</xdr:colOff>
      <xdr:row>21</xdr:row>
      <xdr:rowOff>38099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28</xdr:row>
      <xdr:rowOff>9525</xdr:rowOff>
    </xdr:from>
    <xdr:to>
      <xdr:col>16</xdr:col>
      <xdr:colOff>314325</xdr:colOff>
      <xdr:row>42</xdr:row>
      <xdr:rowOff>85725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2</xdr:row>
      <xdr:rowOff>171450</xdr:rowOff>
    </xdr:from>
    <xdr:to>
      <xdr:col>15</xdr:col>
      <xdr:colOff>95251</xdr:colOff>
      <xdr:row>23</xdr:row>
      <xdr:rowOff>95251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25</xdr:row>
      <xdr:rowOff>152399</xdr:rowOff>
    </xdr:from>
    <xdr:to>
      <xdr:col>13</xdr:col>
      <xdr:colOff>266700</xdr:colOff>
      <xdr:row>40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6</xdr:row>
      <xdr:rowOff>38100</xdr:rowOff>
    </xdr:from>
    <xdr:to>
      <xdr:col>4</xdr:col>
      <xdr:colOff>257175</xdr:colOff>
      <xdr:row>8</xdr:row>
      <xdr:rowOff>0</xdr:rowOff>
    </xdr:to>
    <xdr:sp macro="" textlink="">
      <xdr:nvSpPr>
        <xdr:cNvPr id="5" name="Flowchart: Data 4"/>
        <xdr:cNvSpPr/>
      </xdr:nvSpPr>
      <xdr:spPr>
        <a:xfrm>
          <a:off x="1323975" y="1181100"/>
          <a:ext cx="1371600" cy="342900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elevation</a:t>
          </a:r>
        </a:p>
      </xdr:txBody>
    </xdr:sp>
    <xdr:clientData/>
  </xdr:twoCellAnchor>
  <xdr:twoCellAnchor>
    <xdr:from>
      <xdr:col>2</xdr:col>
      <xdr:colOff>133349</xdr:colOff>
      <xdr:row>10</xdr:row>
      <xdr:rowOff>123825</xdr:rowOff>
    </xdr:from>
    <xdr:to>
      <xdr:col>4</xdr:col>
      <xdr:colOff>523874</xdr:colOff>
      <xdr:row>13</xdr:row>
      <xdr:rowOff>9525</xdr:rowOff>
    </xdr:to>
    <xdr:sp macro="" textlink="">
      <xdr:nvSpPr>
        <xdr:cNvPr id="6" name="Flowchart: Process 5"/>
        <xdr:cNvSpPr/>
      </xdr:nvSpPr>
      <xdr:spPr>
        <a:xfrm>
          <a:off x="1352549" y="2028825"/>
          <a:ext cx="1609725" cy="4572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high_elevToMaxRange</a:t>
          </a:r>
        </a:p>
      </xdr:txBody>
    </xdr:sp>
    <xdr:clientData/>
  </xdr:twoCellAnchor>
  <xdr:twoCellAnchor>
    <xdr:from>
      <xdr:col>2</xdr:col>
      <xdr:colOff>133350</xdr:colOff>
      <xdr:row>2</xdr:row>
      <xdr:rowOff>161925</xdr:rowOff>
    </xdr:from>
    <xdr:to>
      <xdr:col>4</xdr:col>
      <xdr:colOff>123825</xdr:colOff>
      <xdr:row>4</xdr:row>
      <xdr:rowOff>95250</xdr:rowOff>
    </xdr:to>
    <xdr:sp macro="" textlink="">
      <xdr:nvSpPr>
        <xdr:cNvPr id="7" name="Flowchart: Terminator 6"/>
        <xdr:cNvSpPr/>
      </xdr:nvSpPr>
      <xdr:spPr>
        <a:xfrm>
          <a:off x="1352550" y="542925"/>
          <a:ext cx="1209675" cy="314325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57150</xdr:colOff>
      <xdr:row>15</xdr:row>
      <xdr:rowOff>95250</xdr:rowOff>
    </xdr:from>
    <xdr:to>
      <xdr:col>4</xdr:col>
      <xdr:colOff>209550</xdr:colOff>
      <xdr:row>17</xdr:row>
      <xdr:rowOff>57150</xdr:rowOff>
    </xdr:to>
    <xdr:sp macro="" textlink="">
      <xdr:nvSpPr>
        <xdr:cNvPr id="8" name="Flowchart: Data 7"/>
        <xdr:cNvSpPr/>
      </xdr:nvSpPr>
      <xdr:spPr>
        <a:xfrm>
          <a:off x="1276350" y="2952750"/>
          <a:ext cx="1371600" cy="342900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max range</a:t>
          </a:r>
        </a:p>
      </xdr:txBody>
    </xdr:sp>
    <xdr:clientData/>
  </xdr:twoCellAnchor>
  <xdr:twoCellAnchor>
    <xdr:from>
      <xdr:col>1</xdr:col>
      <xdr:colOff>571500</xdr:colOff>
      <xdr:row>21</xdr:row>
      <xdr:rowOff>28575</xdr:rowOff>
    </xdr:from>
    <xdr:to>
      <xdr:col>4</xdr:col>
      <xdr:colOff>114300</xdr:colOff>
      <xdr:row>22</xdr:row>
      <xdr:rowOff>180975</xdr:rowOff>
    </xdr:to>
    <xdr:sp macro="" textlink="">
      <xdr:nvSpPr>
        <xdr:cNvPr id="9" name="Flowchart: Data 8"/>
        <xdr:cNvSpPr/>
      </xdr:nvSpPr>
      <xdr:spPr>
        <a:xfrm>
          <a:off x="1181100" y="4029075"/>
          <a:ext cx="1371600" cy="342900"/>
        </a:xfrm>
        <a:prstGeom prst="flowChartInputOutp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100"/>
            <a:t>max time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6</xdr:row>
      <xdr:rowOff>47625</xdr:rowOff>
    </xdr:from>
    <xdr:to>
      <xdr:col>15</xdr:col>
      <xdr:colOff>9525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97"/>
  <sheetViews>
    <sheetView zoomScale="80" zoomScaleNormal="80" workbookViewId="0">
      <selection activeCell="T50" sqref="T50"/>
    </sheetView>
  </sheetViews>
  <sheetFormatPr defaultRowHeight="15"/>
  <cols>
    <col min="1" max="1" width="10.140625" customWidth="1"/>
    <col min="2" max="2" width="9.42578125" customWidth="1"/>
    <col min="3" max="3" width="9" customWidth="1"/>
    <col min="4" max="4" width="13.42578125" customWidth="1"/>
    <col min="5" max="5" width="15.7109375" customWidth="1"/>
  </cols>
  <sheetData>
    <row r="2" spans="1:5">
      <c r="A2">
        <v>1828.8</v>
      </c>
    </row>
    <row r="3" spans="1:5">
      <c r="A3" t="s">
        <v>3</v>
      </c>
      <c r="B3" t="s">
        <v>2</v>
      </c>
      <c r="D3" s="13" t="s">
        <v>21</v>
      </c>
      <c r="E3" s="14" t="s">
        <v>10</v>
      </c>
    </row>
    <row r="4" spans="1:5">
      <c r="A4" s="1">
        <v>6.6</v>
      </c>
      <c r="B4">
        <v>12070.08</v>
      </c>
      <c r="D4" s="16">
        <f t="shared" ref="D4:D24" si="0">0.001*B4</f>
        <v>12.070080000000001</v>
      </c>
      <c r="E4" s="15">
        <v>67.8</v>
      </c>
    </row>
    <row r="5" spans="1:5">
      <c r="A5" s="1">
        <v>6.7</v>
      </c>
      <c r="B5">
        <v>12252.96</v>
      </c>
      <c r="D5" s="16">
        <f t="shared" si="0"/>
        <v>12.25296</v>
      </c>
      <c r="E5" s="15">
        <v>67.2</v>
      </c>
    </row>
    <row r="6" spans="1:5">
      <c r="A6" s="1">
        <v>6.8</v>
      </c>
      <c r="B6">
        <v>12435.84</v>
      </c>
      <c r="D6" s="16">
        <f t="shared" si="0"/>
        <v>12.435840000000001</v>
      </c>
      <c r="E6" s="15">
        <v>66.7</v>
      </c>
    </row>
    <row r="7" spans="1:5">
      <c r="A7" s="1">
        <v>6.9</v>
      </c>
      <c r="B7">
        <v>12618.720000000001</v>
      </c>
      <c r="D7" s="16">
        <f t="shared" si="0"/>
        <v>12.618720000000001</v>
      </c>
      <c r="E7" s="15">
        <v>66.2</v>
      </c>
    </row>
    <row r="8" spans="1:5">
      <c r="A8" s="1">
        <v>7</v>
      </c>
      <c r="B8">
        <v>12801.6</v>
      </c>
      <c r="D8" s="16">
        <f t="shared" si="0"/>
        <v>12.801600000000001</v>
      </c>
      <c r="E8" s="15">
        <v>65.7</v>
      </c>
    </row>
    <row r="9" spans="1:5">
      <c r="A9" s="1">
        <v>7.1</v>
      </c>
      <c r="B9">
        <v>12984.48</v>
      </c>
      <c r="D9" s="16">
        <f t="shared" si="0"/>
        <v>12.98448</v>
      </c>
      <c r="E9" s="15">
        <v>65.2</v>
      </c>
    </row>
    <row r="10" spans="1:5">
      <c r="A10" s="1">
        <v>7.2</v>
      </c>
      <c r="B10">
        <v>13167.36</v>
      </c>
      <c r="D10" s="16">
        <f t="shared" si="0"/>
        <v>13.16736</v>
      </c>
      <c r="E10" s="15">
        <v>64.599999999999994</v>
      </c>
    </row>
    <row r="11" spans="1:5">
      <c r="A11" s="1">
        <v>7.3</v>
      </c>
      <c r="B11">
        <v>13350.24</v>
      </c>
      <c r="D11" s="16">
        <f t="shared" si="0"/>
        <v>13.350239999999999</v>
      </c>
      <c r="E11" s="15">
        <v>64.099999999999994</v>
      </c>
    </row>
    <row r="12" spans="1:5">
      <c r="A12" s="1">
        <v>7.4</v>
      </c>
      <c r="B12">
        <v>13533.12</v>
      </c>
      <c r="D12" s="16">
        <f t="shared" si="0"/>
        <v>13.53312</v>
      </c>
      <c r="E12" s="15">
        <v>63.5</v>
      </c>
    </row>
    <row r="13" spans="1:5">
      <c r="A13" s="1">
        <v>7.5</v>
      </c>
      <c r="B13">
        <v>13716</v>
      </c>
      <c r="D13" s="16">
        <f t="shared" si="0"/>
        <v>13.716000000000001</v>
      </c>
      <c r="E13" s="15">
        <v>62.9</v>
      </c>
    </row>
    <row r="14" spans="1:5">
      <c r="A14" s="1">
        <v>7.6</v>
      </c>
      <c r="B14">
        <v>13898.88</v>
      </c>
      <c r="D14" s="16">
        <f t="shared" si="0"/>
        <v>13.89888</v>
      </c>
      <c r="E14" s="15">
        <v>62.3</v>
      </c>
    </row>
    <row r="15" spans="1:5">
      <c r="A15" s="1">
        <v>7.7</v>
      </c>
      <c r="B15">
        <v>14081.76</v>
      </c>
      <c r="D15" s="16">
        <f t="shared" si="0"/>
        <v>14.081760000000001</v>
      </c>
      <c r="E15" s="15">
        <v>61.7</v>
      </c>
    </row>
    <row r="16" spans="1:5">
      <c r="A16" s="1">
        <v>7.8</v>
      </c>
      <c r="B16">
        <v>14264.64</v>
      </c>
      <c r="D16" s="16">
        <f t="shared" si="0"/>
        <v>14.26464</v>
      </c>
      <c r="E16" s="15">
        <v>61</v>
      </c>
    </row>
    <row r="17" spans="1:7">
      <c r="A17" s="1">
        <v>7.9</v>
      </c>
      <c r="B17">
        <v>14447.52</v>
      </c>
      <c r="D17" s="16">
        <f t="shared" si="0"/>
        <v>14.447520000000001</v>
      </c>
      <c r="E17" s="15">
        <v>60.3</v>
      </c>
    </row>
    <row r="18" spans="1:7">
      <c r="A18" s="1">
        <v>8</v>
      </c>
      <c r="B18">
        <v>14630.4</v>
      </c>
      <c r="D18" s="16">
        <f t="shared" si="0"/>
        <v>14.6304</v>
      </c>
      <c r="E18" s="15">
        <v>59.6</v>
      </c>
    </row>
    <row r="19" spans="1:7">
      <c r="A19" s="1">
        <v>8.1</v>
      </c>
      <c r="B19">
        <v>14813.279999999999</v>
      </c>
      <c r="D19" s="16">
        <f t="shared" si="0"/>
        <v>14.813279999999999</v>
      </c>
      <c r="E19" s="15">
        <v>58.8</v>
      </c>
    </row>
    <row r="20" spans="1:7">
      <c r="A20" s="1">
        <v>8.1999999999999993</v>
      </c>
      <c r="B20">
        <v>14996.159999999998</v>
      </c>
      <c r="D20" s="16">
        <f t="shared" si="0"/>
        <v>14.996159999999998</v>
      </c>
      <c r="E20" s="15">
        <v>58.1</v>
      </c>
    </row>
    <row r="21" spans="1:7">
      <c r="A21" s="1">
        <v>8.3000000000000007</v>
      </c>
      <c r="B21">
        <v>15179.04</v>
      </c>
      <c r="D21" s="16">
        <f t="shared" si="0"/>
        <v>15.179040000000001</v>
      </c>
      <c r="E21" s="15">
        <v>57.2</v>
      </c>
    </row>
    <row r="22" spans="1:7">
      <c r="A22" s="1">
        <v>8.4</v>
      </c>
      <c r="B22">
        <v>15361.92</v>
      </c>
      <c r="D22" s="16">
        <f t="shared" si="0"/>
        <v>15.36192</v>
      </c>
      <c r="E22" s="15">
        <v>56.2</v>
      </c>
    </row>
    <row r="23" spans="1:7">
      <c r="A23" s="1">
        <v>8.5</v>
      </c>
      <c r="B23">
        <v>15544.8</v>
      </c>
      <c r="D23" s="16">
        <f t="shared" si="0"/>
        <v>15.5448</v>
      </c>
      <c r="E23" s="15">
        <v>55.2</v>
      </c>
    </row>
    <row r="24" spans="1:7">
      <c r="A24" s="1">
        <v>8.6</v>
      </c>
      <c r="B24">
        <v>15727.679999999998</v>
      </c>
      <c r="D24" s="16">
        <f t="shared" si="0"/>
        <v>15.727679999999999</v>
      </c>
      <c r="E24" s="15">
        <v>54</v>
      </c>
    </row>
    <row r="27" spans="1:7">
      <c r="A27" s="17" t="s">
        <v>11</v>
      </c>
      <c r="B27" s="17" t="s">
        <v>9</v>
      </c>
      <c r="D27" s="25" t="s">
        <v>10</v>
      </c>
      <c r="E27" s="26" t="s">
        <v>9</v>
      </c>
      <c r="F27" s="27" t="s">
        <v>8</v>
      </c>
      <c r="G27" s="27"/>
    </row>
    <row r="28" spans="1:7">
      <c r="A28" s="17">
        <v>0.3</v>
      </c>
      <c r="B28" s="17">
        <v>0.91439999999999999</v>
      </c>
      <c r="D28" s="18">
        <v>67.8</v>
      </c>
      <c r="E28" s="19">
        <v>12.070080000000001</v>
      </c>
      <c r="F28" s="20">
        <f t="shared" ref="F28:F48" si="1">SIN(RADIANS(D28)*2)</f>
        <v>0.69966334051336565</v>
      </c>
      <c r="G28" s="20">
        <f>DEGREES(ASIN(F28))/2</f>
        <v>22.20000000000001</v>
      </c>
    </row>
    <row r="29" spans="1:7">
      <c r="A29" s="17">
        <v>0.8</v>
      </c>
      <c r="B29" s="17">
        <v>1.8288</v>
      </c>
      <c r="D29" s="18">
        <v>67.2</v>
      </c>
      <c r="E29" s="19">
        <v>12.25296</v>
      </c>
      <c r="F29" s="20">
        <f t="shared" si="1"/>
        <v>0.71447267963280325</v>
      </c>
      <c r="G29" s="20">
        <f t="shared" ref="G29:G48" si="2">DEGREES(ASIN(F29))/2</f>
        <v>22.799999999999997</v>
      </c>
    </row>
    <row r="30" spans="1:7">
      <c r="A30" s="17">
        <v>1.3</v>
      </c>
      <c r="B30" s="17">
        <v>2.7431999999999999</v>
      </c>
      <c r="D30" s="18">
        <v>66.7</v>
      </c>
      <c r="E30" s="19">
        <v>12.435840000000001</v>
      </c>
      <c r="F30" s="20">
        <f t="shared" si="1"/>
        <v>0.72657467097097594</v>
      </c>
      <c r="G30" s="20">
        <f t="shared" si="2"/>
        <v>23.300000000000004</v>
      </c>
    </row>
    <row r="31" spans="1:7">
      <c r="A31" s="17">
        <v>1.9</v>
      </c>
      <c r="B31" s="17">
        <v>3.6576</v>
      </c>
      <c r="D31" s="18">
        <v>66.2</v>
      </c>
      <c r="E31" s="19">
        <v>12.618720000000001</v>
      </c>
      <c r="F31" s="20">
        <f t="shared" si="1"/>
        <v>0.7384553406258838</v>
      </c>
      <c r="G31" s="20">
        <f t="shared" si="2"/>
        <v>23.8</v>
      </c>
    </row>
    <row r="32" spans="1:7">
      <c r="A32" s="17">
        <v>2.6</v>
      </c>
      <c r="B32" s="17">
        <v>4.5720000000000001</v>
      </c>
      <c r="D32" s="18">
        <v>65.7</v>
      </c>
      <c r="E32" s="19">
        <v>12.801600000000001</v>
      </c>
      <c r="F32" s="20">
        <f t="shared" si="1"/>
        <v>0.75011106963045937</v>
      </c>
      <c r="G32" s="20">
        <f t="shared" si="2"/>
        <v>24.299999999999997</v>
      </c>
    </row>
    <row r="33" spans="1:7">
      <c r="A33" s="17">
        <v>3.6</v>
      </c>
      <c r="B33" s="17">
        <v>5.4863999999999997</v>
      </c>
      <c r="D33" s="18">
        <v>65.2</v>
      </c>
      <c r="E33" s="19">
        <v>12.98448</v>
      </c>
      <c r="F33" s="20">
        <f t="shared" si="1"/>
        <v>0.76153830753673668</v>
      </c>
      <c r="G33" s="20">
        <f t="shared" si="2"/>
        <v>24.799999999999997</v>
      </c>
    </row>
    <row r="34" spans="1:7">
      <c r="A34" s="17">
        <v>4.8</v>
      </c>
      <c r="B34" s="17">
        <v>6.4008000000000003</v>
      </c>
      <c r="D34" s="18">
        <v>64.599999999999994</v>
      </c>
      <c r="E34" s="19">
        <v>13.16736</v>
      </c>
      <c r="F34" s="20">
        <f t="shared" si="1"/>
        <v>0.77494448870417987</v>
      </c>
      <c r="G34" s="20">
        <f t="shared" si="2"/>
        <v>25.400000000000013</v>
      </c>
    </row>
    <row r="35" spans="1:7">
      <c r="A35" s="17">
        <v>6.3</v>
      </c>
      <c r="B35" s="17">
        <v>7.3151999999999999</v>
      </c>
      <c r="D35" s="18">
        <v>64.099999999999994</v>
      </c>
      <c r="E35" s="19">
        <v>13.350239999999999</v>
      </c>
      <c r="F35" s="20">
        <f t="shared" si="1"/>
        <v>0.78585689317540208</v>
      </c>
      <c r="G35" s="20">
        <f t="shared" si="2"/>
        <v>25.900000000000009</v>
      </c>
    </row>
    <row r="36" spans="1:7">
      <c r="A36" s="17">
        <v>8</v>
      </c>
      <c r="B36" s="17">
        <v>8.2296000000000014</v>
      </c>
      <c r="D36" s="18">
        <v>63.5</v>
      </c>
      <c r="E36" s="19">
        <v>13.53312</v>
      </c>
      <c r="F36" s="20">
        <f t="shared" si="1"/>
        <v>0.79863551004729272</v>
      </c>
      <c r="G36" s="20">
        <f t="shared" si="2"/>
        <v>26.499999999999993</v>
      </c>
    </row>
    <row r="37" spans="1:7">
      <c r="A37" s="17">
        <v>10.1</v>
      </c>
      <c r="B37" s="17">
        <v>9.1440000000000001</v>
      </c>
      <c r="D37" s="18">
        <v>62.9</v>
      </c>
      <c r="E37" s="19">
        <v>13.716000000000001</v>
      </c>
      <c r="F37" s="20">
        <f t="shared" si="1"/>
        <v>0.81106381898932656</v>
      </c>
      <c r="G37" s="20">
        <f t="shared" si="2"/>
        <v>27.099999999999998</v>
      </c>
    </row>
    <row r="38" spans="1:7">
      <c r="A38" s="17">
        <v>12.3</v>
      </c>
      <c r="B38" s="17">
        <v>10.058400000000001</v>
      </c>
      <c r="D38" s="18">
        <v>62.3</v>
      </c>
      <c r="E38" s="19">
        <v>13.89888</v>
      </c>
      <c r="F38" s="20">
        <f t="shared" si="1"/>
        <v>0.82313636853444205</v>
      </c>
      <c r="G38" s="20">
        <f t="shared" si="2"/>
        <v>27.70000000000001</v>
      </c>
    </row>
    <row r="39" spans="1:7">
      <c r="A39" s="17">
        <v>14.9</v>
      </c>
      <c r="B39" s="17">
        <v>10.972799999999999</v>
      </c>
      <c r="D39" s="18">
        <v>61.7</v>
      </c>
      <c r="E39" s="19">
        <v>14.081760000000001</v>
      </c>
      <c r="F39" s="20">
        <f t="shared" si="1"/>
        <v>0.83484786326340654</v>
      </c>
      <c r="G39" s="20">
        <f t="shared" si="2"/>
        <v>28.3</v>
      </c>
    </row>
    <row r="40" spans="1:7">
      <c r="A40" s="17">
        <v>17.8</v>
      </c>
      <c r="B40" s="17">
        <v>11.8872</v>
      </c>
      <c r="D40" s="18">
        <v>61</v>
      </c>
      <c r="E40" s="19">
        <v>14.26464</v>
      </c>
      <c r="F40" s="20">
        <f t="shared" si="1"/>
        <v>0.84804809615642607</v>
      </c>
      <c r="G40" s="20">
        <f t="shared" si="2"/>
        <v>29.000000000000011</v>
      </c>
    </row>
    <row r="41" spans="1:7">
      <c r="A41" s="17">
        <v>21</v>
      </c>
      <c r="B41" s="17">
        <v>12.801600000000001</v>
      </c>
      <c r="D41" s="18">
        <v>60.3</v>
      </c>
      <c r="E41" s="19">
        <v>14.447520000000001</v>
      </c>
      <c r="F41" s="20">
        <f t="shared" si="1"/>
        <v>0.86074202700394364</v>
      </c>
      <c r="G41" s="20">
        <f t="shared" si="2"/>
        <v>29.699999999999996</v>
      </c>
    </row>
    <row r="42" spans="1:7">
      <c r="A42" s="17">
        <v>24.8</v>
      </c>
      <c r="B42" s="17">
        <v>13.716000000000001</v>
      </c>
      <c r="D42" s="18">
        <v>59.6</v>
      </c>
      <c r="E42" s="19">
        <v>14.6304</v>
      </c>
      <c r="F42" s="20">
        <f t="shared" si="1"/>
        <v>0.87292207726980953</v>
      </c>
      <c r="G42" s="20">
        <f t="shared" si="2"/>
        <v>30.399999999999991</v>
      </c>
    </row>
    <row r="43" spans="1:7">
      <c r="A43" s="17">
        <v>29.4</v>
      </c>
      <c r="B43" s="17">
        <v>14.6304</v>
      </c>
      <c r="D43" s="18">
        <v>58.8</v>
      </c>
      <c r="E43" s="19">
        <v>14.813279999999999</v>
      </c>
      <c r="F43" s="20">
        <f t="shared" si="1"/>
        <v>0.88620357923121484</v>
      </c>
      <c r="G43" s="20">
        <f t="shared" si="2"/>
        <v>31.200000000000006</v>
      </c>
    </row>
    <row r="44" spans="1:7">
      <c r="A44" s="17">
        <v>35.9</v>
      </c>
      <c r="B44" s="17">
        <v>15.5448</v>
      </c>
      <c r="D44" s="18">
        <v>58.1</v>
      </c>
      <c r="E44" s="19">
        <v>14.996159999999998</v>
      </c>
      <c r="F44" s="20">
        <f t="shared" si="1"/>
        <v>0.89725836967432848</v>
      </c>
      <c r="G44" s="20">
        <f t="shared" si="2"/>
        <v>31.900000000000006</v>
      </c>
    </row>
    <row r="45" spans="1:7">
      <c r="A45" s="17"/>
      <c r="B45" s="17"/>
      <c r="D45" s="18">
        <v>57.2</v>
      </c>
      <c r="E45" s="19">
        <v>15.179040000000001</v>
      </c>
      <c r="F45" s="20">
        <f t="shared" si="1"/>
        <v>0.91068366080617713</v>
      </c>
      <c r="G45" s="20">
        <f t="shared" si="2"/>
        <v>32.800000000000004</v>
      </c>
    </row>
    <row r="46" spans="1:7">
      <c r="A46" s="17"/>
      <c r="B46" s="17"/>
      <c r="D46" s="18">
        <v>56.2</v>
      </c>
      <c r="E46" s="19">
        <v>15.36192</v>
      </c>
      <c r="F46" s="20">
        <f t="shared" si="1"/>
        <v>0.92454603361231313</v>
      </c>
      <c r="G46" s="20">
        <f t="shared" si="2"/>
        <v>33.799999999999997</v>
      </c>
    </row>
    <row r="47" spans="1:7">
      <c r="A47" s="17"/>
      <c r="B47" s="17"/>
      <c r="D47" s="18">
        <v>55.2</v>
      </c>
      <c r="E47" s="19">
        <v>15.5448</v>
      </c>
      <c r="F47" s="20">
        <f t="shared" si="1"/>
        <v>0.93728198949189145</v>
      </c>
      <c r="G47" s="20">
        <f t="shared" si="2"/>
        <v>34.799999999999997</v>
      </c>
    </row>
    <row r="48" spans="1:7">
      <c r="A48" s="17"/>
      <c r="B48" s="17"/>
      <c r="D48" s="18">
        <v>54</v>
      </c>
      <c r="E48" s="19">
        <v>15.727679999999999</v>
      </c>
      <c r="F48" s="20">
        <f t="shared" si="1"/>
        <v>0.95105651629515364</v>
      </c>
      <c r="G48" s="20">
        <f t="shared" si="2"/>
        <v>36.000000000000007</v>
      </c>
    </row>
    <row r="50" spans="4:9">
      <c r="I50" t="s">
        <v>40</v>
      </c>
    </row>
    <row r="51" spans="4:9" ht="15.75">
      <c r="I51" s="5" t="s">
        <v>7</v>
      </c>
    </row>
    <row r="52" spans="4:9">
      <c r="I52" s="5" t="s">
        <v>6</v>
      </c>
    </row>
    <row r="53" spans="4:9">
      <c r="D53" s="12" t="s">
        <v>48</v>
      </c>
      <c r="E53" s="12"/>
      <c r="F53" s="12"/>
      <c r="G53" s="12"/>
    </row>
    <row r="54" spans="4:9">
      <c r="D54" s="12" t="s">
        <v>42</v>
      </c>
      <c r="E54" s="12" t="s">
        <v>37</v>
      </c>
      <c r="F54" s="12" t="s">
        <v>38</v>
      </c>
      <c r="G54" s="12"/>
    </row>
    <row r="55" spans="4:9">
      <c r="D55" s="11">
        <v>45</v>
      </c>
      <c r="E55" s="11">
        <f t="shared" ref="E55:E72" si="3">SIN(RADIANS(D55)*2)</f>
        <v>1</v>
      </c>
      <c r="F55" s="11">
        <f t="shared" ref="F55:F72" si="4" xml:space="preserve"> -2.665269695*E55*E55 + 19.1354017*E55 - 0.046825845</f>
        <v>16.423306159999999</v>
      </c>
      <c r="G55" s="11"/>
    </row>
    <row r="56" spans="4:9">
      <c r="D56" s="11">
        <v>47.5</v>
      </c>
      <c r="E56" s="11">
        <f t="shared" si="3"/>
        <v>0.99619469809174555</v>
      </c>
      <c r="F56" s="11">
        <f t="shared" si="4"/>
        <v>16.370735897143533</v>
      </c>
      <c r="G56" s="11"/>
    </row>
    <row r="57" spans="4:9">
      <c r="D57" s="11">
        <v>50</v>
      </c>
      <c r="E57" s="11">
        <f t="shared" si="3"/>
        <v>0.98480775301220802</v>
      </c>
      <c r="F57" s="11">
        <f t="shared" si="4"/>
        <v>16.212964126265081</v>
      </c>
      <c r="G57" s="11"/>
    </row>
    <row r="58" spans="4:9">
      <c r="D58" s="11">
        <v>52.5</v>
      </c>
      <c r="E58" s="11">
        <f t="shared" si="3"/>
        <v>0.96592582628906831</v>
      </c>
      <c r="F58" s="11">
        <f t="shared" si="4"/>
        <v>15.949822374042338</v>
      </c>
      <c r="G58" s="11"/>
    </row>
    <row r="59" spans="4:9">
      <c r="D59" s="11">
        <v>55</v>
      </c>
      <c r="E59" s="11">
        <f t="shared" si="3"/>
        <v>0.93969262078590843</v>
      </c>
      <c r="F59" s="11">
        <f t="shared" si="4"/>
        <v>15.581077561130042</v>
      </c>
      <c r="G59" s="11"/>
    </row>
    <row r="60" spans="4:9">
      <c r="D60" s="11">
        <v>57.5</v>
      </c>
      <c r="E60" s="11">
        <f t="shared" si="3"/>
        <v>0.90630778703665005</v>
      </c>
      <c r="F60" s="11">
        <f t="shared" si="4"/>
        <v>15.106501708074838</v>
      </c>
      <c r="G60" s="11"/>
    </row>
    <row r="61" spans="4:9">
      <c r="D61" s="11">
        <v>60</v>
      </c>
      <c r="E61" s="11">
        <f t="shared" si="3"/>
        <v>0.86602540378443871</v>
      </c>
      <c r="F61" s="11">
        <f t="shared" si="4"/>
        <v>14.525965867569933</v>
      </c>
      <c r="G61" s="11"/>
    </row>
    <row r="62" spans="4:9">
      <c r="D62" s="11">
        <v>62.5</v>
      </c>
      <c r="E62" s="11">
        <f t="shared" si="3"/>
        <v>0.81915204428899169</v>
      </c>
      <c r="F62" s="11">
        <f t="shared" si="4"/>
        <v>13.839554766803316</v>
      </c>
      <c r="G62" s="11"/>
    </row>
    <row r="63" spans="4:9">
      <c r="D63" s="11">
        <v>65</v>
      </c>
      <c r="E63" s="11">
        <f t="shared" si="3"/>
        <v>0.76604444311897801</v>
      </c>
      <c r="F63" s="11">
        <f t="shared" si="4"/>
        <v>13.047697833870622</v>
      </c>
      <c r="G63" s="11"/>
    </row>
    <row r="64" spans="4:9">
      <c r="D64" s="11">
        <v>67.5</v>
      </c>
      <c r="E64" s="11">
        <f t="shared" si="3"/>
        <v>0.70710678118654757</v>
      </c>
      <c r="F64" s="11">
        <f t="shared" si="4"/>
        <v>12.15131161029859</v>
      </c>
      <c r="G64" s="11"/>
    </row>
    <row r="65" spans="4:7">
      <c r="D65" s="11">
        <v>70</v>
      </c>
      <c r="E65" s="11">
        <f t="shared" si="3"/>
        <v>0.64278760968653947</v>
      </c>
      <c r="F65" s="11">
        <f t="shared" si="4"/>
        <v>11.151948039398563</v>
      </c>
      <c r="G65" s="11"/>
    </row>
    <row r="66" spans="4:7">
      <c r="D66" s="11">
        <v>72.5</v>
      </c>
      <c r="E66" s="11">
        <f t="shared" si="3"/>
        <v>0.57357643635104594</v>
      </c>
      <c r="F66" s="11">
        <f t="shared" si="4"/>
        <v>10.051942784274477</v>
      </c>
      <c r="G66" s="11"/>
    </row>
    <row r="67" spans="4:7">
      <c r="D67" s="11">
        <v>75</v>
      </c>
      <c r="E67" s="11">
        <f t="shared" si="3"/>
        <v>0.49999999999999994</v>
      </c>
      <c r="F67" s="11">
        <f t="shared" si="4"/>
        <v>8.8545575812499973</v>
      </c>
      <c r="G67" s="11"/>
    </row>
    <row r="68" spans="4:7">
      <c r="D68" s="11">
        <v>77.5</v>
      </c>
      <c r="E68" s="11">
        <f t="shared" si="3"/>
        <v>0.4226182617406995</v>
      </c>
      <c r="F68" s="11">
        <f t="shared" si="4"/>
        <v>7.5641106798735365</v>
      </c>
      <c r="G68" s="11"/>
    </row>
    <row r="69" spans="4:7">
      <c r="D69" s="11">
        <v>80</v>
      </c>
      <c r="E69" s="11">
        <f t="shared" si="3"/>
        <v>0.34202014332566888</v>
      </c>
      <c r="F69" s="11">
        <f t="shared" si="4"/>
        <v>6.1860896591623291</v>
      </c>
      <c r="G69" s="11"/>
    </row>
    <row r="70" spans="4:7">
      <c r="D70" s="11">
        <v>82.5</v>
      </c>
      <c r="E70" s="11">
        <f t="shared" si="3"/>
        <v>0.25881904510252102</v>
      </c>
      <c r="F70" s="11">
        <f t="shared" si="4"/>
        <v>4.7272413350505582</v>
      </c>
      <c r="G70" s="11"/>
    </row>
    <row r="71" spans="4:7">
      <c r="D71" s="11">
        <v>85</v>
      </c>
      <c r="E71" s="11">
        <f t="shared" si="3"/>
        <v>0.17364817766693028</v>
      </c>
      <c r="F71" s="11">
        <f t="shared" si="4"/>
        <v>3.1956340740275841</v>
      </c>
      <c r="G71" s="11"/>
    </row>
    <row r="72" spans="4:7">
      <c r="D72" s="11">
        <v>87.5</v>
      </c>
      <c r="E72" s="11">
        <f t="shared" si="3"/>
        <v>8.7155742747658194E-2</v>
      </c>
      <c r="F72" s="11">
        <f t="shared" si="4"/>
        <v>1.6006885851905428</v>
      </c>
      <c r="G72" s="11"/>
    </row>
    <row r="75" spans="4:7" ht="41.25" customHeight="1"/>
    <row r="76" spans="4:7">
      <c r="D76" s="25" t="s">
        <v>10</v>
      </c>
      <c r="E76" s="26" t="s">
        <v>9</v>
      </c>
      <c r="F76" s="27" t="s">
        <v>8</v>
      </c>
      <c r="G76" s="27"/>
    </row>
    <row r="77" spans="4:7">
      <c r="D77" s="18">
        <v>67.8</v>
      </c>
      <c r="E77" s="19">
        <v>12.070080000000001</v>
      </c>
      <c r="F77" s="20">
        <f t="shared" ref="F77:F97" si="5">SIN(RADIANS(D77)*2)</f>
        <v>0.69966334051336565</v>
      </c>
      <c r="G77" s="20">
        <f>DEGREES(ASIN(F77))/2</f>
        <v>22.20000000000001</v>
      </c>
    </row>
    <row r="78" spans="4:7">
      <c r="D78" s="18">
        <v>67.2</v>
      </c>
      <c r="E78" s="19">
        <v>12.25296</v>
      </c>
      <c r="F78" s="20">
        <f t="shared" si="5"/>
        <v>0.71447267963280325</v>
      </c>
      <c r="G78" s="20">
        <f t="shared" ref="G78:G97" si="6">DEGREES(ASIN(F78))/2</f>
        <v>22.799999999999997</v>
      </c>
    </row>
    <row r="79" spans="4:7">
      <c r="D79" s="18">
        <v>66.7</v>
      </c>
      <c r="E79" s="19">
        <v>12.435840000000001</v>
      </c>
      <c r="F79" s="20">
        <f t="shared" si="5"/>
        <v>0.72657467097097594</v>
      </c>
      <c r="G79" s="20">
        <f t="shared" si="6"/>
        <v>23.300000000000004</v>
      </c>
    </row>
    <row r="80" spans="4:7">
      <c r="D80" s="18">
        <v>66.2</v>
      </c>
      <c r="E80" s="19">
        <v>12.618720000000001</v>
      </c>
      <c r="F80" s="20">
        <f t="shared" si="5"/>
        <v>0.7384553406258838</v>
      </c>
      <c r="G80" s="20">
        <f t="shared" si="6"/>
        <v>23.8</v>
      </c>
    </row>
    <row r="81" spans="4:7">
      <c r="D81" s="18">
        <v>65.7</v>
      </c>
      <c r="E81" s="19">
        <v>12.801600000000001</v>
      </c>
      <c r="F81" s="20">
        <f t="shared" si="5"/>
        <v>0.75011106963045937</v>
      </c>
      <c r="G81" s="20">
        <f t="shared" si="6"/>
        <v>24.299999999999997</v>
      </c>
    </row>
    <row r="82" spans="4:7">
      <c r="D82" s="18">
        <v>65.2</v>
      </c>
      <c r="E82" s="19">
        <v>12.98448</v>
      </c>
      <c r="F82" s="20">
        <f t="shared" si="5"/>
        <v>0.76153830753673668</v>
      </c>
      <c r="G82" s="20">
        <f t="shared" si="6"/>
        <v>24.799999999999997</v>
      </c>
    </row>
    <row r="83" spans="4:7">
      <c r="D83" s="18">
        <v>64.599999999999994</v>
      </c>
      <c r="E83" s="19">
        <v>13.16736</v>
      </c>
      <c r="F83" s="20">
        <f t="shared" si="5"/>
        <v>0.77494448870417987</v>
      </c>
      <c r="G83" s="20">
        <f t="shared" si="6"/>
        <v>25.400000000000013</v>
      </c>
    </row>
    <row r="84" spans="4:7">
      <c r="D84" s="18">
        <v>64.099999999999994</v>
      </c>
      <c r="E84" s="19">
        <v>13.350239999999999</v>
      </c>
      <c r="F84" s="20">
        <f t="shared" si="5"/>
        <v>0.78585689317540208</v>
      </c>
      <c r="G84" s="20">
        <f t="shared" si="6"/>
        <v>25.900000000000009</v>
      </c>
    </row>
    <row r="85" spans="4:7">
      <c r="D85" s="18">
        <v>63.5</v>
      </c>
      <c r="E85" s="19">
        <v>13.53312</v>
      </c>
      <c r="F85" s="20">
        <f t="shared" si="5"/>
        <v>0.79863551004729272</v>
      </c>
      <c r="G85" s="20">
        <f t="shared" si="6"/>
        <v>26.499999999999993</v>
      </c>
    </row>
    <row r="86" spans="4:7">
      <c r="D86" s="18">
        <v>62.9</v>
      </c>
      <c r="E86" s="19">
        <v>13.716000000000001</v>
      </c>
      <c r="F86" s="20">
        <f t="shared" si="5"/>
        <v>0.81106381898932656</v>
      </c>
      <c r="G86" s="20">
        <f t="shared" si="6"/>
        <v>27.099999999999998</v>
      </c>
    </row>
    <row r="87" spans="4:7">
      <c r="D87" s="18">
        <v>62.3</v>
      </c>
      <c r="E87" s="19">
        <v>13.89888</v>
      </c>
      <c r="F87" s="20">
        <f t="shared" si="5"/>
        <v>0.82313636853444205</v>
      </c>
      <c r="G87" s="20">
        <f t="shared" si="6"/>
        <v>27.70000000000001</v>
      </c>
    </row>
    <row r="88" spans="4:7">
      <c r="D88" s="18">
        <v>61.7</v>
      </c>
      <c r="E88" s="19">
        <v>14.081760000000001</v>
      </c>
      <c r="F88" s="20">
        <f t="shared" si="5"/>
        <v>0.83484786326340654</v>
      </c>
      <c r="G88" s="20">
        <f t="shared" si="6"/>
        <v>28.3</v>
      </c>
    </row>
    <row r="89" spans="4:7">
      <c r="D89" s="18">
        <v>61</v>
      </c>
      <c r="E89" s="19">
        <v>14.26464</v>
      </c>
      <c r="F89" s="20">
        <f t="shared" si="5"/>
        <v>0.84804809615642607</v>
      </c>
      <c r="G89" s="20">
        <f t="shared" si="6"/>
        <v>29.000000000000011</v>
      </c>
    </row>
    <row r="90" spans="4:7">
      <c r="D90" s="18">
        <v>60.3</v>
      </c>
      <c r="E90" s="19">
        <v>14.447520000000001</v>
      </c>
      <c r="F90" s="20">
        <f t="shared" si="5"/>
        <v>0.86074202700394364</v>
      </c>
      <c r="G90" s="20">
        <f t="shared" si="6"/>
        <v>29.699999999999996</v>
      </c>
    </row>
    <row r="91" spans="4:7">
      <c r="D91" s="18">
        <v>59.6</v>
      </c>
      <c r="E91" s="19">
        <v>14.6304</v>
      </c>
      <c r="F91" s="20">
        <f t="shared" si="5"/>
        <v>0.87292207726980953</v>
      </c>
      <c r="G91" s="20">
        <f t="shared" si="6"/>
        <v>30.399999999999991</v>
      </c>
    </row>
    <row r="92" spans="4:7">
      <c r="D92" s="18">
        <v>58.8</v>
      </c>
      <c r="E92" s="19">
        <v>14.813279999999999</v>
      </c>
      <c r="F92" s="20">
        <f t="shared" si="5"/>
        <v>0.88620357923121484</v>
      </c>
      <c r="G92" s="20">
        <f t="shared" si="6"/>
        <v>31.200000000000006</v>
      </c>
    </row>
    <row r="93" spans="4:7">
      <c r="D93" s="18">
        <v>58.1</v>
      </c>
      <c r="E93" s="19">
        <v>14.996159999999998</v>
      </c>
      <c r="F93" s="20">
        <f t="shared" si="5"/>
        <v>0.89725836967432848</v>
      </c>
      <c r="G93" s="20">
        <f t="shared" si="6"/>
        <v>31.900000000000006</v>
      </c>
    </row>
    <row r="94" spans="4:7">
      <c r="D94" s="18">
        <v>57.2</v>
      </c>
      <c r="E94" s="19">
        <v>15.179040000000001</v>
      </c>
      <c r="F94" s="20">
        <f t="shared" si="5"/>
        <v>0.91068366080617713</v>
      </c>
      <c r="G94" s="20">
        <f t="shared" si="6"/>
        <v>32.800000000000004</v>
      </c>
    </row>
    <row r="95" spans="4:7">
      <c r="D95" s="18">
        <v>56.2</v>
      </c>
      <c r="E95" s="19">
        <v>15.36192</v>
      </c>
      <c r="F95" s="20">
        <f t="shared" si="5"/>
        <v>0.92454603361231313</v>
      </c>
      <c r="G95" s="20">
        <f t="shared" si="6"/>
        <v>33.799999999999997</v>
      </c>
    </row>
    <row r="96" spans="4:7">
      <c r="D96" s="18">
        <v>55.2</v>
      </c>
      <c r="E96" s="19">
        <v>15.5448</v>
      </c>
      <c r="F96" s="20">
        <f t="shared" si="5"/>
        <v>0.93728198949189145</v>
      </c>
      <c r="G96" s="20">
        <f t="shared" si="6"/>
        <v>34.799999999999997</v>
      </c>
    </row>
    <row r="97" spans="4:7">
      <c r="D97" s="18">
        <v>54</v>
      </c>
      <c r="E97" s="19">
        <v>15.727679999999999</v>
      </c>
      <c r="F97" s="20">
        <f t="shared" si="5"/>
        <v>0.95105651629515364</v>
      </c>
      <c r="G97" s="20">
        <f t="shared" si="6"/>
        <v>36.000000000000007</v>
      </c>
    </row>
  </sheetData>
  <sortState ref="D119:D139">
    <sortCondition descending="1" ref="D119:D139"/>
  </sortState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P49"/>
  <sheetViews>
    <sheetView topLeftCell="A25" workbookViewId="0">
      <selection activeCell="I50" sqref="I50"/>
    </sheetView>
  </sheetViews>
  <sheetFormatPr defaultRowHeight="15"/>
  <cols>
    <col min="5" max="5" width="12.7109375" customWidth="1"/>
  </cols>
  <sheetData>
    <row r="4" spans="2:7">
      <c r="B4" s="17" t="s">
        <v>22</v>
      </c>
      <c r="C4" s="17" t="s">
        <v>23</v>
      </c>
      <c r="E4" s="24" t="s">
        <v>41</v>
      </c>
      <c r="F4" s="24" t="s">
        <v>12</v>
      </c>
      <c r="G4" s="24"/>
    </row>
    <row r="5" spans="2:7">
      <c r="B5" s="21"/>
      <c r="C5" s="17"/>
      <c r="E5" s="22">
        <v>54</v>
      </c>
      <c r="F5" s="23">
        <v>7.547152800000001</v>
      </c>
      <c r="G5" s="22">
        <f t="shared" ref="G5:G25" si="0">SIN(RADIANS(E5))</f>
        <v>0.80901699437494745</v>
      </c>
    </row>
    <row r="6" spans="2:7">
      <c r="B6" s="21">
        <v>0.3</v>
      </c>
      <c r="C6" s="17">
        <v>1.524E-3</v>
      </c>
      <c r="E6" s="22">
        <v>55.2</v>
      </c>
      <c r="F6" s="23">
        <v>7.7730096000000009</v>
      </c>
      <c r="G6" s="22">
        <f t="shared" si="0"/>
        <v>0.82114920913370404</v>
      </c>
    </row>
    <row r="7" spans="2:7">
      <c r="B7" s="21">
        <v>0.8</v>
      </c>
      <c r="C7" s="17">
        <v>6.7056000000000008E-3</v>
      </c>
      <c r="E7" s="22">
        <v>56.2</v>
      </c>
      <c r="F7" s="23">
        <v>7.9534512000000008</v>
      </c>
      <c r="G7" s="22">
        <f t="shared" si="0"/>
        <v>0.83098446927432834</v>
      </c>
    </row>
    <row r="8" spans="2:7">
      <c r="B8" s="21">
        <v>1.3</v>
      </c>
      <c r="C8" s="17">
        <v>1.7373599999999999E-2</v>
      </c>
      <c r="E8" s="22">
        <v>57.2</v>
      </c>
      <c r="F8" s="23">
        <v>8.1195672000000005</v>
      </c>
      <c r="G8" s="22">
        <f t="shared" si="0"/>
        <v>0.84056660349568424</v>
      </c>
    </row>
    <row r="9" spans="2:7">
      <c r="B9" s="21">
        <v>1.9</v>
      </c>
      <c r="C9" s="17">
        <v>3.5966400000000003E-2</v>
      </c>
      <c r="E9" s="22">
        <v>58.1</v>
      </c>
      <c r="F9" s="23">
        <v>8.2847688000000002</v>
      </c>
      <c r="G9" s="22">
        <f t="shared" si="0"/>
        <v>0.84897168762914144</v>
      </c>
    </row>
    <row r="10" spans="2:7">
      <c r="B10" s="21">
        <v>2.6</v>
      </c>
      <c r="C10" s="17">
        <v>6.6141599999999995E-2</v>
      </c>
      <c r="E10" s="22">
        <v>58.8</v>
      </c>
      <c r="F10" s="23">
        <v>8.4130896000000011</v>
      </c>
      <c r="G10" s="22">
        <f t="shared" si="0"/>
        <v>0.8553642601605066</v>
      </c>
    </row>
    <row r="11" spans="2:7">
      <c r="B11" s="21">
        <v>3.6</v>
      </c>
      <c r="C11" s="17">
        <v>0.11308080000000001</v>
      </c>
      <c r="E11" s="22">
        <v>59.6</v>
      </c>
      <c r="F11" s="23">
        <v>8.5414104000000002</v>
      </c>
      <c r="G11" s="22">
        <f t="shared" si="0"/>
        <v>0.86251366920725747</v>
      </c>
    </row>
    <row r="12" spans="2:7">
      <c r="B12" s="21">
        <v>4.8</v>
      </c>
      <c r="C12" s="17">
        <v>0.18684239999999999</v>
      </c>
      <c r="E12" s="22">
        <v>60.3</v>
      </c>
      <c r="F12" s="23">
        <v>8.6636352000000016</v>
      </c>
      <c r="G12" s="22">
        <f t="shared" si="0"/>
        <v>0.8686315144381912</v>
      </c>
    </row>
    <row r="13" spans="2:7">
      <c r="B13" s="21">
        <v>6.3</v>
      </c>
      <c r="C13" s="17">
        <v>0.294132</v>
      </c>
      <c r="E13" s="22">
        <v>61</v>
      </c>
      <c r="F13" s="23">
        <v>8.7703152000000006</v>
      </c>
      <c r="G13" s="22">
        <f t="shared" si="0"/>
        <v>0.87461970713939574</v>
      </c>
    </row>
    <row r="14" spans="2:7">
      <c r="B14" s="21">
        <v>8</v>
      </c>
      <c r="C14" s="17">
        <v>0.43982640000000006</v>
      </c>
      <c r="E14" s="22">
        <v>61.7</v>
      </c>
      <c r="F14" s="23">
        <v>8.8769952000000014</v>
      </c>
      <c r="G14" s="22">
        <f t="shared" si="0"/>
        <v>0.88047735350916201</v>
      </c>
    </row>
    <row r="15" spans="2:7">
      <c r="B15" s="21">
        <v>10.1</v>
      </c>
      <c r="C15" s="17">
        <v>0.62697360000000002</v>
      </c>
      <c r="E15" s="22">
        <v>62.3</v>
      </c>
      <c r="F15" s="23">
        <v>8.9751408000000019</v>
      </c>
      <c r="G15" s="22">
        <f t="shared" si="0"/>
        <v>0.88539362575441583</v>
      </c>
    </row>
    <row r="16" spans="2:7">
      <c r="B16" s="21">
        <v>12.3</v>
      </c>
      <c r="C16" s="17">
        <v>0.86014560000000007</v>
      </c>
      <c r="E16" s="22">
        <v>62.9</v>
      </c>
      <c r="F16" s="23">
        <v>9.0665808000000006</v>
      </c>
      <c r="G16" s="22">
        <f t="shared" si="0"/>
        <v>0.89021280461112651</v>
      </c>
    </row>
    <row r="17" spans="2:16">
      <c r="B17" s="21">
        <v>14.9</v>
      </c>
      <c r="C17" s="17">
        <v>1.1469624</v>
      </c>
      <c r="E17" s="22">
        <v>63.5</v>
      </c>
      <c r="F17" s="23">
        <v>9.158020800000001</v>
      </c>
      <c r="G17" s="22">
        <f t="shared" si="0"/>
        <v>0.89493436160202511</v>
      </c>
    </row>
    <row r="18" spans="2:16">
      <c r="B18" s="21">
        <v>17.8</v>
      </c>
      <c r="C18" s="17">
        <v>1.4962632000000002</v>
      </c>
      <c r="E18" s="22">
        <v>64.099999999999994</v>
      </c>
      <c r="F18" s="23">
        <v>9.2400120000000001</v>
      </c>
      <c r="G18" s="22">
        <f t="shared" si="0"/>
        <v>0.8995577789551803</v>
      </c>
    </row>
    <row r="19" spans="2:16">
      <c r="B19" s="21">
        <v>21</v>
      </c>
      <c r="C19" s="17">
        <v>1.9245072000000001</v>
      </c>
      <c r="E19" s="22">
        <v>64.599999999999994</v>
      </c>
      <c r="F19" s="23">
        <v>9.3201744000000009</v>
      </c>
      <c r="G19" s="22">
        <f t="shared" si="0"/>
        <v>0.90333529286330072</v>
      </c>
    </row>
    <row r="20" spans="2:16">
      <c r="B20" s="21">
        <v>24.8</v>
      </c>
      <c r="C20" s="17">
        <v>2.4588216000000003</v>
      </c>
      <c r="E20" s="22">
        <v>65.2</v>
      </c>
      <c r="F20" s="23">
        <v>9.3991176000000003</v>
      </c>
      <c r="G20" s="22">
        <f t="shared" si="0"/>
        <v>0.90777747853290869</v>
      </c>
    </row>
    <row r="21" spans="2:16">
      <c r="B21" s="21">
        <v>29.4</v>
      </c>
      <c r="C21" s="17">
        <v>3.1629095999999999</v>
      </c>
      <c r="E21" s="22">
        <v>65.7</v>
      </c>
      <c r="F21" s="23">
        <v>9.4698312000000016</v>
      </c>
      <c r="G21" s="22">
        <f t="shared" si="0"/>
        <v>0.91140327663544529</v>
      </c>
    </row>
    <row r="22" spans="2:16">
      <c r="B22" s="21">
        <v>35.9</v>
      </c>
      <c r="C22" s="17">
        <v>4.2129456000000003</v>
      </c>
      <c r="E22" s="22">
        <v>66.2</v>
      </c>
      <c r="F22" s="23">
        <v>9.5405447999999993</v>
      </c>
      <c r="G22" s="22">
        <f t="shared" si="0"/>
        <v>0.91495966784982485</v>
      </c>
    </row>
    <row r="23" spans="2:16">
      <c r="B23" s="17"/>
      <c r="C23" s="17"/>
      <c r="E23" s="22">
        <v>66.7</v>
      </c>
      <c r="F23" s="23">
        <v>9.6088199999999997</v>
      </c>
      <c r="G23" s="22">
        <f t="shared" si="0"/>
        <v>0.91844638134308709</v>
      </c>
    </row>
    <row r="24" spans="2:16">
      <c r="B24" s="17"/>
      <c r="C24" s="17"/>
      <c r="E24" s="22">
        <v>67.2</v>
      </c>
      <c r="F24" s="23">
        <v>9.6716087999999996</v>
      </c>
      <c r="G24" s="22">
        <f t="shared" si="0"/>
        <v>0.92186315158850052</v>
      </c>
    </row>
    <row r="25" spans="2:16">
      <c r="B25" s="17"/>
      <c r="C25" s="17"/>
      <c r="E25" s="22">
        <v>67.8</v>
      </c>
      <c r="F25" s="23">
        <v>9.7347023999999998</v>
      </c>
      <c r="G25" s="22">
        <f t="shared" si="0"/>
        <v>0.92587058480999473</v>
      </c>
    </row>
    <row r="29" spans="2:16">
      <c r="J29" t="s">
        <v>39</v>
      </c>
    </row>
    <row r="30" spans="2:16">
      <c r="E30" s="12" t="s">
        <v>49</v>
      </c>
      <c r="F30" s="12"/>
      <c r="G30" s="12"/>
      <c r="J30" t="s">
        <v>13</v>
      </c>
      <c r="P30" t="s">
        <v>24</v>
      </c>
    </row>
    <row r="31" spans="2:16">
      <c r="E31" s="12" t="s">
        <v>42</v>
      </c>
      <c r="F31" s="12" t="s">
        <v>27</v>
      </c>
      <c r="G31" s="12" t="s">
        <v>38</v>
      </c>
    </row>
    <row r="32" spans="2:16">
      <c r="E32" s="11">
        <v>45</v>
      </c>
      <c r="F32" s="11">
        <f t="shared" ref="F32:F49" si="1">SIN(RADIANS(E32))</f>
        <v>0.70710678118654746</v>
      </c>
      <c r="G32" s="11">
        <f t="shared" ref="G32:G49" si="2">2.947601528*F32*F32+13.72305254*F32 -5.486492431</f>
        <v>5.6909718426132727</v>
      </c>
    </row>
    <row r="33" spans="5:7">
      <c r="E33" s="11">
        <v>47.5</v>
      </c>
      <c r="F33" s="11">
        <f t="shared" si="1"/>
        <v>0.73727733681012408</v>
      </c>
      <c r="G33" s="11">
        <f t="shared" si="2"/>
        <v>6.2334541628450939</v>
      </c>
    </row>
    <row r="34" spans="5:7">
      <c r="E34" s="11">
        <v>50</v>
      </c>
      <c r="F34" s="11">
        <f t="shared" si="1"/>
        <v>0.76604444311897801</v>
      </c>
      <c r="G34" s="11">
        <f t="shared" si="2"/>
        <v>6.7556992908095062</v>
      </c>
    </row>
    <row r="35" spans="5:7">
      <c r="E35" s="11">
        <v>52.5</v>
      </c>
      <c r="F35" s="11">
        <f t="shared" si="1"/>
        <v>0.79335334029123517</v>
      </c>
      <c r="G35" s="11">
        <f t="shared" si="2"/>
        <v>7.2559856110109635</v>
      </c>
    </row>
    <row r="36" spans="5:7">
      <c r="E36" s="11">
        <v>55</v>
      </c>
      <c r="F36" s="11">
        <f t="shared" si="1"/>
        <v>0.8191520442889918</v>
      </c>
      <c r="G36" s="11">
        <f t="shared" si="2"/>
        <v>7.7326444235630003</v>
      </c>
    </row>
    <row r="37" spans="5:7">
      <c r="E37" s="11">
        <v>57.5</v>
      </c>
      <c r="F37" s="11">
        <f t="shared" si="1"/>
        <v>0.84339144581288572</v>
      </c>
      <c r="G37" s="11">
        <f t="shared" si="2"/>
        <v>8.1840685727105882</v>
      </c>
    </row>
    <row r="38" spans="5:7">
      <c r="E38" s="11">
        <v>60</v>
      </c>
      <c r="F38" s="11">
        <f t="shared" si="1"/>
        <v>0.8660254037844386</v>
      </c>
      <c r="G38" s="11">
        <f t="shared" si="2"/>
        <v>8.6087208321085651</v>
      </c>
    </row>
    <row r="39" spans="5:7">
      <c r="E39" s="11">
        <v>62.5</v>
      </c>
      <c r="F39" s="11">
        <f t="shared" si="1"/>
        <v>0.88701083317822171</v>
      </c>
      <c r="G39" s="11">
        <f t="shared" si="2"/>
        <v>9.0051419903604799</v>
      </c>
    </row>
    <row r="40" spans="5:7">
      <c r="E40" s="11">
        <v>65</v>
      </c>
      <c r="F40" s="11">
        <f t="shared" si="1"/>
        <v>0.90630778703664994</v>
      </c>
      <c r="G40" s="11">
        <f t="shared" si="2"/>
        <v>9.3719585821608327</v>
      </c>
    </row>
    <row r="41" spans="5:7">
      <c r="E41" s="11">
        <v>67.5</v>
      </c>
      <c r="F41" s="11">
        <f t="shared" si="1"/>
        <v>0.92387953251128674</v>
      </c>
      <c r="G41" s="11">
        <f t="shared" si="2"/>
        <v>9.7078902126253386</v>
      </c>
    </row>
    <row r="42" spans="5:7">
      <c r="E42" s="11">
        <v>70</v>
      </c>
      <c r="F42" s="11">
        <f t="shared" si="1"/>
        <v>0.93969262078590832</v>
      </c>
      <c r="G42" s="11">
        <f t="shared" si="2"/>
        <v>10.011756425022019</v>
      </c>
    </row>
    <row r="43" spans="5:7">
      <c r="E43" s="11">
        <v>72.5</v>
      </c>
      <c r="F43" s="11">
        <f t="shared" si="1"/>
        <v>0.95371695074822693</v>
      </c>
      <c r="G43" s="11">
        <f t="shared" si="2"/>
        <v>10.282483065111789</v>
      </c>
    </row>
    <row r="44" spans="5:7">
      <c r="E44" s="11">
        <v>75</v>
      </c>
      <c r="F44" s="11">
        <f t="shared" si="1"/>
        <v>0.96592582628906831</v>
      </c>
      <c r="G44" s="11">
        <f t="shared" si="2"/>
        <v>10.51910809864871</v>
      </c>
    </row>
    <row r="45" spans="5:7">
      <c r="E45" s="11">
        <v>77.5</v>
      </c>
      <c r="F45" s="11">
        <f t="shared" si="1"/>
        <v>0.97629600711993336</v>
      </c>
      <c r="G45" s="11">
        <f t="shared" si="2"/>
        <v>10.720786842252823</v>
      </c>
    </row>
    <row r="46" spans="5:7">
      <c r="E46" s="11">
        <v>80</v>
      </c>
      <c r="F46" s="11">
        <f t="shared" si="1"/>
        <v>0.98480775301220802</v>
      </c>
      <c r="G46" s="11">
        <f t="shared" si="2"/>
        <v>10.886796571825306</v>
      </c>
    </row>
    <row r="47" spans="5:7">
      <c r="E47" s="11">
        <v>82.5</v>
      </c>
      <c r="F47" s="11">
        <f t="shared" si="1"/>
        <v>0.99144486137381038</v>
      </c>
      <c r="G47" s="11">
        <f t="shared" si="2"/>
        <v>11.016540476897974</v>
      </c>
    </row>
    <row r="48" spans="5:7">
      <c r="E48" s="11">
        <v>85</v>
      </c>
      <c r="F48" s="11">
        <f t="shared" si="1"/>
        <v>0.99619469809174555</v>
      </c>
      <c r="G48" s="11">
        <f t="shared" si="2"/>
        <v>11.109550933764977</v>
      </c>
    </row>
    <row r="49" spans="5:7">
      <c r="E49" s="11">
        <v>87.5</v>
      </c>
      <c r="F49" s="11">
        <f t="shared" si="1"/>
        <v>0.9990482215818578</v>
      </c>
      <c r="G49" s="11">
        <f t="shared" si="2"/>
        <v>11.165492074901762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C2:G56"/>
  <sheetViews>
    <sheetView zoomScale="80" zoomScaleNormal="80" workbookViewId="0">
      <selection activeCell="G26" sqref="G26"/>
    </sheetView>
  </sheetViews>
  <sheetFormatPr defaultRowHeight="15"/>
  <sheetData>
    <row r="2" spans="3:7" ht="31.5">
      <c r="E2" s="29" t="s">
        <v>51</v>
      </c>
    </row>
    <row r="5" spans="3:7" ht="15.75">
      <c r="F5" s="5" t="s">
        <v>46</v>
      </c>
    </row>
    <row r="6" spans="3:7">
      <c r="F6" s="5" t="s">
        <v>47</v>
      </c>
    </row>
    <row r="7" spans="3:7">
      <c r="C7" t="s">
        <v>1</v>
      </c>
      <c r="D7" t="s">
        <v>43</v>
      </c>
      <c r="F7" s="12" t="s">
        <v>42</v>
      </c>
      <c r="G7" t="s">
        <v>45</v>
      </c>
    </row>
    <row r="8" spans="3:7">
      <c r="C8">
        <v>54</v>
      </c>
      <c r="D8">
        <v>76.2</v>
      </c>
      <c r="F8" s="11">
        <v>45</v>
      </c>
      <c r="G8">
        <f t="shared" ref="G8:G25" si="0">-0.010709204*F8*F8 + 2.143751228 * F8-8.319353207</f>
        <v>66.463313953000011</v>
      </c>
    </row>
    <row r="9" spans="3:7">
      <c r="C9">
        <v>55.2</v>
      </c>
      <c r="D9">
        <v>77.400000000000006</v>
      </c>
      <c r="F9" s="11">
        <v>47.5</v>
      </c>
      <c r="G9">
        <f t="shared" si="0"/>
        <v>69.346188597999998</v>
      </c>
    </row>
    <row r="10" spans="3:7">
      <c r="C10">
        <v>56.2</v>
      </c>
      <c r="D10">
        <v>78.400000000000006</v>
      </c>
      <c r="F10" s="11">
        <v>50</v>
      </c>
      <c r="G10">
        <f t="shared" si="0"/>
        <v>72.095198193000002</v>
      </c>
    </row>
    <row r="11" spans="3:7">
      <c r="C11">
        <v>57.2</v>
      </c>
      <c r="D11">
        <v>79.2</v>
      </c>
      <c r="F11" s="11">
        <v>52.5</v>
      </c>
      <c r="G11">
        <f t="shared" si="0"/>
        <v>74.710342738000008</v>
      </c>
    </row>
    <row r="12" spans="3:7">
      <c r="C12">
        <v>58.1</v>
      </c>
      <c r="D12">
        <v>80.099999999999994</v>
      </c>
      <c r="F12" s="11">
        <v>55</v>
      </c>
      <c r="G12">
        <f t="shared" si="0"/>
        <v>77.191622233000004</v>
      </c>
    </row>
    <row r="13" spans="3:7">
      <c r="C13">
        <v>58.8</v>
      </c>
      <c r="D13">
        <v>80.7</v>
      </c>
      <c r="F13" s="11">
        <v>57.5</v>
      </c>
      <c r="G13">
        <f t="shared" si="0"/>
        <v>79.539036678000002</v>
      </c>
    </row>
    <row r="14" spans="3:7">
      <c r="C14">
        <v>59.6</v>
      </c>
      <c r="D14">
        <v>81.400000000000006</v>
      </c>
      <c r="F14" s="11">
        <v>60</v>
      </c>
      <c r="G14">
        <f t="shared" si="0"/>
        <v>81.752586073000003</v>
      </c>
    </row>
    <row r="15" spans="3:7">
      <c r="C15">
        <v>60.3</v>
      </c>
      <c r="D15">
        <v>82</v>
      </c>
      <c r="F15" s="11">
        <v>62.5</v>
      </c>
      <c r="G15">
        <f t="shared" si="0"/>
        <v>83.832270418000007</v>
      </c>
    </row>
    <row r="16" spans="3:7">
      <c r="C16">
        <v>61</v>
      </c>
      <c r="D16">
        <v>82.6</v>
      </c>
      <c r="F16" s="11">
        <v>65</v>
      </c>
      <c r="G16">
        <f t="shared" si="0"/>
        <v>85.778089713000014</v>
      </c>
    </row>
    <row r="17" spans="3:7">
      <c r="C17">
        <v>61.7</v>
      </c>
      <c r="D17">
        <v>83.1</v>
      </c>
      <c r="F17" s="11">
        <v>67.5</v>
      </c>
      <c r="G17">
        <f t="shared" si="0"/>
        <v>87.59004395800001</v>
      </c>
    </row>
    <row r="18" spans="3:7">
      <c r="C18">
        <v>62.3</v>
      </c>
      <c r="D18">
        <v>83.7</v>
      </c>
      <c r="F18" s="11">
        <v>70</v>
      </c>
      <c r="G18">
        <f t="shared" si="0"/>
        <v>89.268133152999994</v>
      </c>
    </row>
    <row r="19" spans="3:7">
      <c r="C19">
        <v>62.9</v>
      </c>
      <c r="D19">
        <v>84.2</v>
      </c>
      <c r="F19" s="11">
        <v>72.5</v>
      </c>
      <c r="G19">
        <f t="shared" si="0"/>
        <v>90.812357298000023</v>
      </c>
    </row>
    <row r="20" spans="3:7">
      <c r="C20">
        <v>63.5</v>
      </c>
      <c r="D20">
        <v>84.6</v>
      </c>
      <c r="F20" s="11">
        <v>75</v>
      </c>
      <c r="G20">
        <f t="shared" si="0"/>
        <v>92.222716393000013</v>
      </c>
    </row>
    <row r="21" spans="3:7">
      <c r="C21">
        <v>64.099999999999994</v>
      </c>
      <c r="D21">
        <v>85.1</v>
      </c>
      <c r="F21" s="11">
        <v>77.5</v>
      </c>
      <c r="G21">
        <f t="shared" si="0"/>
        <v>93.499210438000006</v>
      </c>
    </row>
    <row r="22" spans="3:7">
      <c r="C22">
        <v>64.599999999999994</v>
      </c>
      <c r="D22">
        <v>85.5</v>
      </c>
      <c r="F22" s="11">
        <v>80</v>
      </c>
      <c r="G22">
        <f t="shared" si="0"/>
        <v>94.641839433000001</v>
      </c>
    </row>
    <row r="23" spans="3:7">
      <c r="C23">
        <v>65.2</v>
      </c>
      <c r="D23">
        <v>85.9</v>
      </c>
      <c r="F23" s="11">
        <v>82.5</v>
      </c>
      <c r="G23">
        <f t="shared" si="0"/>
        <v>95.650603378000014</v>
      </c>
    </row>
    <row r="24" spans="3:7">
      <c r="C24">
        <v>65.7</v>
      </c>
      <c r="D24">
        <v>86.3</v>
      </c>
      <c r="F24" s="11">
        <v>85</v>
      </c>
      <c r="G24">
        <f t="shared" si="0"/>
        <v>96.525502273000001</v>
      </c>
    </row>
    <row r="25" spans="3:7">
      <c r="C25">
        <v>66.2</v>
      </c>
      <c r="D25">
        <v>86.7</v>
      </c>
      <c r="F25" s="11">
        <v>87.5</v>
      </c>
      <c r="G25">
        <f t="shared" si="0"/>
        <v>97.266536118000005</v>
      </c>
    </row>
    <row r="26" spans="3:7">
      <c r="C26">
        <v>66.7</v>
      </c>
      <c r="D26">
        <v>87.1</v>
      </c>
    </row>
    <row r="27" spans="3:7">
      <c r="C27">
        <v>67.2</v>
      </c>
      <c r="D27">
        <v>87.4</v>
      </c>
    </row>
    <row r="28" spans="3:7">
      <c r="C28">
        <v>67.8</v>
      </c>
      <c r="D28">
        <v>87.7</v>
      </c>
    </row>
    <row r="30" spans="3:7">
      <c r="E30" s="8"/>
    </row>
    <row r="31" spans="3:7">
      <c r="F31" s="4"/>
    </row>
    <row r="32" spans="3:7">
      <c r="F32" s="4"/>
    </row>
    <row r="33" spans="3:6">
      <c r="F33" s="4"/>
    </row>
    <row r="34" spans="3:6">
      <c r="C34" t="s">
        <v>44</v>
      </c>
      <c r="D34" t="s">
        <v>50</v>
      </c>
    </row>
    <row r="36" spans="3:6">
      <c r="C36">
        <v>15.727679999999999</v>
      </c>
      <c r="D36">
        <v>76.2</v>
      </c>
      <c r="E36">
        <f>SQRT(D36)</f>
        <v>8.7292611371180779</v>
      </c>
    </row>
    <row r="37" spans="3:6">
      <c r="C37">
        <v>15.5448</v>
      </c>
      <c r="D37">
        <v>77.400000000000006</v>
      </c>
      <c r="E37">
        <f t="shared" ref="E37:E56" si="1">SQRT(D37)</f>
        <v>8.7977269791691093</v>
      </c>
    </row>
    <row r="38" spans="3:6">
      <c r="C38">
        <v>15.36192</v>
      </c>
      <c r="D38">
        <v>78.400000000000006</v>
      </c>
      <c r="E38">
        <f t="shared" si="1"/>
        <v>8.8543774484714621</v>
      </c>
    </row>
    <row r="39" spans="3:6">
      <c r="C39">
        <v>15.179040000000001</v>
      </c>
      <c r="D39">
        <v>79.2</v>
      </c>
      <c r="E39">
        <f t="shared" si="1"/>
        <v>8.8994381845147963</v>
      </c>
    </row>
    <row r="40" spans="3:6">
      <c r="C40">
        <v>14.996159999999998</v>
      </c>
      <c r="D40">
        <v>80.099999999999994</v>
      </c>
      <c r="E40">
        <f t="shared" si="1"/>
        <v>8.9498603341057787</v>
      </c>
    </row>
    <row r="41" spans="3:6">
      <c r="C41">
        <v>14.813279999999999</v>
      </c>
      <c r="D41">
        <v>80.7</v>
      </c>
      <c r="E41">
        <f t="shared" si="1"/>
        <v>8.9833178725902822</v>
      </c>
    </row>
    <row r="42" spans="3:6">
      <c r="C42">
        <v>14.6304</v>
      </c>
      <c r="D42">
        <v>81.400000000000006</v>
      </c>
      <c r="E42">
        <f t="shared" si="1"/>
        <v>9.0221948549119695</v>
      </c>
    </row>
    <row r="43" spans="3:6">
      <c r="C43">
        <v>14.447520000000001</v>
      </c>
      <c r="D43">
        <v>82</v>
      </c>
      <c r="E43">
        <f t="shared" si="1"/>
        <v>9.0553851381374173</v>
      </c>
    </row>
    <row r="44" spans="3:6">
      <c r="C44">
        <v>14.26464</v>
      </c>
      <c r="D44">
        <v>82.6</v>
      </c>
      <c r="E44">
        <f t="shared" si="1"/>
        <v>9.0884542140014108</v>
      </c>
    </row>
    <row r="45" spans="3:6">
      <c r="C45">
        <v>14.081760000000001</v>
      </c>
      <c r="D45">
        <v>83.1</v>
      </c>
      <c r="E45">
        <f t="shared" si="1"/>
        <v>9.1159201400626575</v>
      </c>
    </row>
    <row r="46" spans="3:6">
      <c r="C46">
        <v>13.89888</v>
      </c>
      <c r="D46">
        <v>83.7</v>
      </c>
      <c r="E46">
        <f t="shared" si="1"/>
        <v>9.1487704091861435</v>
      </c>
    </row>
    <row r="47" spans="3:6">
      <c r="C47">
        <v>13.716000000000001</v>
      </c>
      <c r="D47">
        <v>84.2</v>
      </c>
      <c r="E47">
        <f t="shared" si="1"/>
        <v>9.1760557975635706</v>
      </c>
    </row>
    <row r="48" spans="3:6">
      <c r="C48">
        <v>13.53312</v>
      </c>
      <c r="D48">
        <v>84.6</v>
      </c>
      <c r="E48">
        <f t="shared" si="1"/>
        <v>9.1978258300535352</v>
      </c>
    </row>
    <row r="49" spans="3:5">
      <c r="C49">
        <v>13.350239999999999</v>
      </c>
      <c r="D49">
        <v>85.1</v>
      </c>
      <c r="E49">
        <f t="shared" si="1"/>
        <v>9.2249661245990495</v>
      </c>
    </row>
    <row r="50" spans="3:5">
      <c r="C50">
        <v>13.16736</v>
      </c>
      <c r="D50">
        <v>85.5</v>
      </c>
      <c r="E50">
        <f t="shared" si="1"/>
        <v>9.2466210044534645</v>
      </c>
    </row>
    <row r="51" spans="3:5">
      <c r="C51">
        <v>12.98448</v>
      </c>
      <c r="D51">
        <v>85.9</v>
      </c>
      <c r="E51">
        <f t="shared" si="1"/>
        <v>9.2682252885868071</v>
      </c>
    </row>
    <row r="52" spans="3:5">
      <c r="C52">
        <v>12.801600000000001</v>
      </c>
      <c r="D52">
        <v>86.3</v>
      </c>
      <c r="E52">
        <f t="shared" si="1"/>
        <v>9.2897793299948734</v>
      </c>
    </row>
    <row r="53" spans="3:5">
      <c r="C53">
        <v>12.618720000000001</v>
      </c>
      <c r="D53">
        <v>86.7</v>
      </c>
      <c r="E53">
        <f t="shared" si="1"/>
        <v>9.3112834775878248</v>
      </c>
    </row>
    <row r="54" spans="3:5">
      <c r="C54">
        <v>12.435840000000001</v>
      </c>
      <c r="D54">
        <v>87.1</v>
      </c>
      <c r="E54">
        <f t="shared" si="1"/>
        <v>9.3327380762560779</v>
      </c>
    </row>
    <row r="55" spans="3:5">
      <c r="C55">
        <v>12.25296</v>
      </c>
      <c r="D55">
        <v>87.4</v>
      </c>
      <c r="E55">
        <f t="shared" si="1"/>
        <v>9.3487967140161956</v>
      </c>
    </row>
    <row r="56" spans="3:5">
      <c r="C56">
        <v>12.070080000000001</v>
      </c>
      <c r="D56">
        <v>87.7</v>
      </c>
      <c r="E56">
        <f t="shared" si="1"/>
        <v>9.3648278147545252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G28"/>
  <sheetViews>
    <sheetView workbookViewId="0">
      <selection activeCell="C6" sqref="C6"/>
    </sheetView>
  </sheetViews>
  <sheetFormatPr defaultRowHeight="15"/>
  <cols>
    <col min="4" max="4" width="14" customWidth="1"/>
    <col min="5" max="5" width="13.140625" customWidth="1"/>
    <col min="6" max="6" width="16.5703125" customWidth="1"/>
  </cols>
  <sheetData>
    <row r="3" spans="2:7">
      <c r="B3" t="s">
        <v>4</v>
      </c>
    </row>
    <row r="4" spans="2:7">
      <c r="B4">
        <v>1828.8</v>
      </c>
      <c r="C4">
        <v>0.30480000000000002</v>
      </c>
    </row>
    <row r="5" spans="2:7">
      <c r="B5" t="s">
        <v>3</v>
      </c>
      <c r="C5" t="s">
        <v>2</v>
      </c>
      <c r="D5" t="s">
        <v>1</v>
      </c>
      <c r="E5" t="s">
        <v>62</v>
      </c>
      <c r="F5" t="s">
        <v>5</v>
      </c>
      <c r="G5" t="s">
        <v>0</v>
      </c>
    </row>
    <row r="6" spans="2:7">
      <c r="B6" s="1">
        <v>8.6</v>
      </c>
      <c r="C6" s="3">
        <f>B6*$B$4*0.001</f>
        <v>15.727679999999999</v>
      </c>
      <c r="D6" s="2">
        <v>54</v>
      </c>
      <c r="E6" s="2">
        <v>76.2</v>
      </c>
      <c r="F6" s="2">
        <f t="shared" ref="F6:F26" si="0">G6*$C$4*0.001</f>
        <v>7.547152800000001</v>
      </c>
      <c r="G6" s="1">
        <v>24761</v>
      </c>
    </row>
    <row r="7" spans="2:7">
      <c r="B7" s="1">
        <v>8.5</v>
      </c>
      <c r="C7" s="3">
        <f t="shared" ref="C7:C26" si="1">B7*$B$4*0.001</f>
        <v>15.5448</v>
      </c>
      <c r="D7" s="2">
        <v>55.2</v>
      </c>
      <c r="E7" s="2">
        <v>77.400000000000006</v>
      </c>
      <c r="F7" s="2">
        <f t="shared" si="0"/>
        <v>7.7730096000000009</v>
      </c>
      <c r="G7" s="1">
        <v>25502</v>
      </c>
    </row>
    <row r="8" spans="2:7">
      <c r="B8" s="1">
        <v>8.4</v>
      </c>
      <c r="C8" s="3">
        <f t="shared" si="1"/>
        <v>15.36192</v>
      </c>
      <c r="D8" s="2">
        <v>56.2</v>
      </c>
      <c r="E8" s="2">
        <v>78.400000000000006</v>
      </c>
      <c r="F8" s="2">
        <f t="shared" si="0"/>
        <v>7.9534512000000008</v>
      </c>
      <c r="G8" s="1">
        <v>26094</v>
      </c>
    </row>
    <row r="9" spans="2:7">
      <c r="B9" s="1">
        <v>8.3000000000000007</v>
      </c>
      <c r="C9" s="3">
        <f t="shared" si="1"/>
        <v>15.179040000000001</v>
      </c>
      <c r="D9" s="2">
        <v>57.2</v>
      </c>
      <c r="E9" s="2">
        <v>79.2</v>
      </c>
      <c r="F9" s="2">
        <f t="shared" si="0"/>
        <v>8.1195672000000005</v>
      </c>
      <c r="G9" s="1">
        <v>26639</v>
      </c>
    </row>
    <row r="10" spans="2:7">
      <c r="B10" s="1">
        <v>8.1999999999999993</v>
      </c>
      <c r="C10" s="3">
        <f t="shared" si="1"/>
        <v>14.996159999999998</v>
      </c>
      <c r="D10" s="2">
        <v>58.1</v>
      </c>
      <c r="E10" s="2">
        <v>80.099999999999994</v>
      </c>
      <c r="F10" s="2">
        <f t="shared" si="0"/>
        <v>8.2847688000000002</v>
      </c>
      <c r="G10" s="1">
        <v>27181</v>
      </c>
    </row>
    <row r="11" spans="2:7">
      <c r="B11" s="1">
        <v>8.1</v>
      </c>
      <c r="C11" s="3">
        <f t="shared" si="1"/>
        <v>14.813279999999999</v>
      </c>
      <c r="D11" s="2">
        <v>58.8</v>
      </c>
      <c r="E11" s="2">
        <v>80.7</v>
      </c>
      <c r="F11" s="2">
        <f t="shared" si="0"/>
        <v>8.4130896000000011</v>
      </c>
      <c r="G11" s="1">
        <v>27602</v>
      </c>
    </row>
    <row r="12" spans="2:7">
      <c r="B12" s="1">
        <v>8</v>
      </c>
      <c r="C12" s="3">
        <f t="shared" si="1"/>
        <v>14.6304</v>
      </c>
      <c r="D12" s="2">
        <v>59.6</v>
      </c>
      <c r="E12" s="2">
        <v>81.400000000000006</v>
      </c>
      <c r="F12" s="2">
        <f t="shared" si="0"/>
        <v>8.5414104000000002</v>
      </c>
      <c r="G12" s="1">
        <v>28023</v>
      </c>
    </row>
    <row r="13" spans="2:7">
      <c r="B13" s="1">
        <v>7.9</v>
      </c>
      <c r="C13" s="3">
        <f t="shared" si="1"/>
        <v>14.447520000000001</v>
      </c>
      <c r="D13" s="2">
        <v>60.3</v>
      </c>
      <c r="E13" s="2">
        <v>82</v>
      </c>
      <c r="F13" s="2">
        <f t="shared" si="0"/>
        <v>8.6636352000000016</v>
      </c>
      <c r="G13" s="1">
        <v>28424</v>
      </c>
    </row>
    <row r="14" spans="2:7">
      <c r="B14" s="1">
        <v>7.8</v>
      </c>
      <c r="C14" s="3">
        <f t="shared" si="1"/>
        <v>14.26464</v>
      </c>
      <c r="D14" s="2">
        <v>61</v>
      </c>
      <c r="E14" s="2">
        <v>82.6</v>
      </c>
      <c r="F14" s="2">
        <f t="shared" si="0"/>
        <v>8.7703152000000006</v>
      </c>
      <c r="G14" s="1">
        <v>28774</v>
      </c>
    </row>
    <row r="15" spans="2:7">
      <c r="B15" s="1">
        <v>7.7</v>
      </c>
      <c r="C15" s="3">
        <f t="shared" si="1"/>
        <v>14.081760000000001</v>
      </c>
      <c r="D15" s="2">
        <v>61.7</v>
      </c>
      <c r="E15" s="2">
        <v>83.1</v>
      </c>
      <c r="F15" s="2">
        <f t="shared" si="0"/>
        <v>8.8769952000000014</v>
      </c>
      <c r="G15" s="1">
        <v>29124</v>
      </c>
    </row>
    <row r="16" spans="2:7">
      <c r="B16" s="1">
        <v>7.6</v>
      </c>
      <c r="C16" s="3">
        <f t="shared" si="1"/>
        <v>13.89888</v>
      </c>
      <c r="D16" s="2">
        <v>62.3</v>
      </c>
      <c r="E16" s="2">
        <v>83.7</v>
      </c>
      <c r="F16" s="2">
        <f t="shared" si="0"/>
        <v>8.9751408000000019</v>
      </c>
      <c r="G16" s="1">
        <v>29446</v>
      </c>
    </row>
    <row r="17" spans="2:7">
      <c r="B17" s="1">
        <v>7.5</v>
      </c>
      <c r="C17" s="3">
        <f t="shared" si="1"/>
        <v>13.716000000000001</v>
      </c>
      <c r="D17" s="2">
        <v>62.9</v>
      </c>
      <c r="E17" s="2">
        <v>84.2</v>
      </c>
      <c r="F17" s="2">
        <f t="shared" si="0"/>
        <v>9.0665808000000006</v>
      </c>
      <c r="G17" s="1">
        <v>29746</v>
      </c>
    </row>
    <row r="18" spans="2:7">
      <c r="B18" s="1">
        <v>7.4</v>
      </c>
      <c r="C18" s="3">
        <f t="shared" si="1"/>
        <v>13.53312</v>
      </c>
      <c r="D18" s="2">
        <v>63.5</v>
      </c>
      <c r="E18" s="2">
        <v>84.6</v>
      </c>
      <c r="F18" s="2">
        <f t="shared" si="0"/>
        <v>9.158020800000001</v>
      </c>
      <c r="G18" s="1">
        <v>30046</v>
      </c>
    </row>
    <row r="19" spans="2:7">
      <c r="B19" s="1">
        <v>7.3</v>
      </c>
      <c r="C19" s="3">
        <f t="shared" si="1"/>
        <v>13.350239999999999</v>
      </c>
      <c r="D19" s="2">
        <v>64.099999999999994</v>
      </c>
      <c r="E19" s="2">
        <v>85.1</v>
      </c>
      <c r="F19" s="2">
        <f t="shared" si="0"/>
        <v>9.2400120000000001</v>
      </c>
      <c r="G19" s="1">
        <v>30315</v>
      </c>
    </row>
    <row r="20" spans="2:7">
      <c r="B20" s="1">
        <v>7.2</v>
      </c>
      <c r="C20" s="3">
        <f t="shared" si="1"/>
        <v>13.16736</v>
      </c>
      <c r="D20" s="2">
        <v>64.599999999999994</v>
      </c>
      <c r="E20" s="2">
        <v>85.5</v>
      </c>
      <c r="F20" s="2">
        <f t="shared" si="0"/>
        <v>9.3201744000000009</v>
      </c>
      <c r="G20" s="1">
        <v>30578</v>
      </c>
    </row>
    <row r="21" spans="2:7">
      <c r="B21" s="1">
        <v>7.1</v>
      </c>
      <c r="C21" s="3">
        <f t="shared" si="1"/>
        <v>12.98448</v>
      </c>
      <c r="D21" s="2">
        <v>65.2</v>
      </c>
      <c r="E21" s="2">
        <v>85.9</v>
      </c>
      <c r="F21" s="2">
        <f t="shared" si="0"/>
        <v>9.3991176000000003</v>
      </c>
      <c r="G21" s="1">
        <v>30837</v>
      </c>
    </row>
    <row r="22" spans="2:7">
      <c r="B22" s="1">
        <v>7</v>
      </c>
      <c r="C22" s="3">
        <f t="shared" si="1"/>
        <v>12.801600000000001</v>
      </c>
      <c r="D22" s="2">
        <v>65.7</v>
      </c>
      <c r="E22" s="2">
        <v>86.3</v>
      </c>
      <c r="F22" s="2">
        <f t="shared" si="0"/>
        <v>9.4698312000000016</v>
      </c>
      <c r="G22" s="1">
        <v>31069</v>
      </c>
    </row>
    <row r="23" spans="2:7">
      <c r="B23" s="1">
        <v>6.9</v>
      </c>
      <c r="C23" s="3">
        <f t="shared" si="1"/>
        <v>12.618720000000001</v>
      </c>
      <c r="D23" s="2">
        <v>66.2</v>
      </c>
      <c r="E23" s="2">
        <v>86.7</v>
      </c>
      <c r="F23" s="2">
        <f t="shared" si="0"/>
        <v>9.5405447999999993</v>
      </c>
      <c r="G23" s="1">
        <v>31301</v>
      </c>
    </row>
    <row r="24" spans="2:7">
      <c r="B24" s="1">
        <v>6.8</v>
      </c>
      <c r="C24" s="3">
        <f t="shared" si="1"/>
        <v>12.435840000000001</v>
      </c>
      <c r="D24" s="2">
        <v>66.7</v>
      </c>
      <c r="E24" s="2">
        <v>87.1</v>
      </c>
      <c r="F24" s="2">
        <f t="shared" si="0"/>
        <v>9.6088199999999997</v>
      </c>
      <c r="G24" s="1">
        <v>31525</v>
      </c>
    </row>
    <row r="25" spans="2:7">
      <c r="B25" s="1">
        <v>6.7</v>
      </c>
      <c r="C25" s="3">
        <f t="shared" si="1"/>
        <v>12.25296</v>
      </c>
      <c r="D25" s="2">
        <v>67.2</v>
      </c>
      <c r="E25" s="2">
        <v>87.4</v>
      </c>
      <c r="F25" s="2">
        <f t="shared" si="0"/>
        <v>9.6716087999999996</v>
      </c>
      <c r="G25" s="1">
        <v>31731</v>
      </c>
    </row>
    <row r="26" spans="2:7">
      <c r="B26" s="1">
        <v>6.6</v>
      </c>
      <c r="C26" s="3">
        <f t="shared" si="1"/>
        <v>12.070080000000001</v>
      </c>
      <c r="D26" s="2">
        <v>67.8</v>
      </c>
      <c r="E26" s="2">
        <v>87.7</v>
      </c>
      <c r="F26" s="2">
        <f t="shared" si="0"/>
        <v>9.7347023999999998</v>
      </c>
      <c r="G26" s="1">
        <v>31938</v>
      </c>
    </row>
    <row r="27" spans="2:7">
      <c r="B27" s="1">
        <v>6.5</v>
      </c>
    </row>
    <row r="28" spans="2:7">
      <c r="B28" s="1">
        <v>6.4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C4:J28"/>
  <sheetViews>
    <sheetView topLeftCell="B10" workbookViewId="0">
      <selection activeCell="H39" sqref="H39"/>
    </sheetView>
  </sheetViews>
  <sheetFormatPr defaultRowHeight="15"/>
  <sheetData>
    <row r="4" spans="3:10">
      <c r="F4" s="8"/>
      <c r="I4" s="10" t="s">
        <v>20</v>
      </c>
    </row>
    <row r="5" spans="3:10">
      <c r="F5" s="8"/>
    </row>
    <row r="6" spans="3:10">
      <c r="D6" t="s">
        <v>14</v>
      </c>
      <c r="E6" s="2" t="s">
        <v>15</v>
      </c>
      <c r="F6" s="2" t="s">
        <v>16</v>
      </c>
      <c r="G6" t="s">
        <v>17</v>
      </c>
      <c r="I6" t="s">
        <v>18</v>
      </c>
      <c r="J6" t="s">
        <v>19</v>
      </c>
    </row>
    <row r="7" spans="3:10">
      <c r="C7" s="2">
        <v>54</v>
      </c>
      <c r="D7" s="2">
        <v>76.2</v>
      </c>
      <c r="E7">
        <v>15.727679999999999</v>
      </c>
      <c r="F7" s="9">
        <v>7.547152800000001</v>
      </c>
      <c r="G7">
        <f t="shared" ref="G7:G27" si="0">2*SQRT((E7*0.5)*(E7*0.5)+(F7*F7))</f>
        <v>21.799036211002342</v>
      </c>
      <c r="H7">
        <v>1</v>
      </c>
      <c r="I7">
        <f t="shared" ref="I7:I27" si="1">(2*PI()*F7+(4*(E7-F7)))/2</f>
        <v>40.071134191999633</v>
      </c>
      <c r="J7">
        <f t="shared" ref="J7:J27" si="2">I7/D7</f>
        <v>0.52586790278214735</v>
      </c>
    </row>
    <row r="8" spans="3:10">
      <c r="C8" s="2">
        <v>55.2</v>
      </c>
      <c r="D8" s="2">
        <v>77.400000000000006</v>
      </c>
      <c r="E8">
        <v>15.5448</v>
      </c>
      <c r="F8" s="9">
        <v>7.7730096000000009</v>
      </c>
      <c r="G8">
        <f t="shared" si="0"/>
        <v>21.984529105868262</v>
      </c>
      <c r="H8">
        <v>2</v>
      </c>
      <c r="I8">
        <f t="shared" si="1"/>
        <v>39.963210655642939</v>
      </c>
      <c r="J8">
        <f t="shared" si="2"/>
        <v>0.51632055110649788</v>
      </c>
    </row>
    <row r="9" spans="3:10">
      <c r="C9" s="2">
        <v>56.2</v>
      </c>
      <c r="D9" s="2">
        <v>78.400000000000006</v>
      </c>
      <c r="E9">
        <v>15.36192</v>
      </c>
      <c r="F9" s="9">
        <v>7.9534512000000008</v>
      </c>
      <c r="G9">
        <f t="shared" si="0"/>
        <v>22.113754318286297</v>
      </c>
      <c r="H9">
        <v>3</v>
      </c>
      <c r="I9">
        <f t="shared" si="1"/>
        <v>39.803441460604922</v>
      </c>
      <c r="J9">
        <f t="shared" si="2"/>
        <v>0.507696957405675</v>
      </c>
    </row>
    <row r="10" spans="3:10">
      <c r="C10" s="2">
        <v>57.2</v>
      </c>
      <c r="D10" s="2">
        <v>79.2</v>
      </c>
      <c r="E10">
        <v>15.179040000000001</v>
      </c>
      <c r="F10" s="9">
        <v>8.1195672000000005</v>
      </c>
      <c r="G10">
        <f t="shared" si="0"/>
        <v>22.228646863515184</v>
      </c>
      <c r="H10">
        <v>4</v>
      </c>
      <c r="I10">
        <f t="shared" si="1"/>
        <v>39.627318265848643</v>
      </c>
      <c r="J10">
        <f t="shared" si="2"/>
        <v>0.50034492759909899</v>
      </c>
    </row>
    <row r="11" spans="3:10">
      <c r="C11" s="2">
        <v>58.1</v>
      </c>
      <c r="D11" s="2">
        <v>80.099999999999994</v>
      </c>
      <c r="E11">
        <v>14.996159999999998</v>
      </c>
      <c r="F11" s="9">
        <v>8.2847688000000002</v>
      </c>
      <c r="G11">
        <f t="shared" si="0"/>
        <v>22.348028795028291</v>
      </c>
      <c r="H11">
        <v>5</v>
      </c>
      <c r="I11">
        <f t="shared" si="1"/>
        <v>39.450151198769923</v>
      </c>
      <c r="J11">
        <f t="shared" si="2"/>
        <v>0.49251125092097287</v>
      </c>
    </row>
    <row r="12" spans="3:10">
      <c r="C12" s="2">
        <v>58.8</v>
      </c>
      <c r="D12" s="2">
        <v>80.7</v>
      </c>
      <c r="E12">
        <v>14.813279999999999</v>
      </c>
      <c r="F12" s="9">
        <v>8.4130896000000011</v>
      </c>
      <c r="G12">
        <f t="shared" si="0"/>
        <v>22.417706636248784</v>
      </c>
      <c r="H12">
        <v>6</v>
      </c>
      <c r="I12">
        <f t="shared" si="1"/>
        <v>39.230881281352694</v>
      </c>
      <c r="J12">
        <f t="shared" si="2"/>
        <v>0.48613235788541131</v>
      </c>
    </row>
    <row r="13" spans="3:10">
      <c r="C13" s="2">
        <v>59.6</v>
      </c>
      <c r="D13" s="2">
        <v>81.400000000000006</v>
      </c>
      <c r="E13">
        <v>14.6304</v>
      </c>
      <c r="F13" s="9">
        <v>8.5414104000000002</v>
      </c>
      <c r="G13">
        <f t="shared" si="0"/>
        <v>22.491584440517137</v>
      </c>
      <c r="H13">
        <v>7</v>
      </c>
      <c r="I13">
        <f t="shared" si="1"/>
        <v>39.011611363935458</v>
      </c>
      <c r="J13">
        <f t="shared" si="2"/>
        <v>0.47925812486407193</v>
      </c>
    </row>
    <row r="14" spans="3:10">
      <c r="C14" s="2">
        <v>60.3</v>
      </c>
      <c r="D14" s="2">
        <v>82</v>
      </c>
      <c r="E14">
        <v>14.447520000000001</v>
      </c>
      <c r="F14" s="9">
        <v>8.6636352000000016</v>
      </c>
      <c r="G14">
        <f t="shared" si="0"/>
        <v>22.560255620562376</v>
      </c>
      <c r="H14">
        <v>8</v>
      </c>
      <c r="I14">
        <f t="shared" si="1"/>
        <v>38.785382297701943</v>
      </c>
      <c r="J14">
        <f t="shared" si="2"/>
        <v>0.47299246704514564</v>
      </c>
    </row>
    <row r="15" spans="3:10">
      <c r="C15" s="2">
        <v>61</v>
      </c>
      <c r="D15" s="2">
        <v>82.6</v>
      </c>
      <c r="E15">
        <v>14.26464</v>
      </c>
      <c r="F15" s="9">
        <v>8.7703152000000006</v>
      </c>
      <c r="G15">
        <f t="shared" si="0"/>
        <v>22.608707817100122</v>
      </c>
      <c r="H15">
        <v>9</v>
      </c>
      <c r="I15">
        <f t="shared" si="1"/>
        <v>38.541407401986902</v>
      </c>
      <c r="J15">
        <f t="shared" si="2"/>
        <v>0.46660299518143955</v>
      </c>
    </row>
    <row r="16" spans="3:10">
      <c r="C16" s="2">
        <v>61.7</v>
      </c>
      <c r="D16" s="2">
        <v>83.1</v>
      </c>
      <c r="E16">
        <v>14.081760000000001</v>
      </c>
      <c r="F16" s="9">
        <v>8.8769952000000014</v>
      </c>
      <c r="G16">
        <f t="shared" si="0"/>
        <v>22.660541472367608</v>
      </c>
      <c r="H16">
        <v>10</v>
      </c>
      <c r="I16">
        <f t="shared" si="1"/>
        <v>38.297432506271861</v>
      </c>
      <c r="J16">
        <f t="shared" si="2"/>
        <v>0.46085959694671313</v>
      </c>
    </row>
    <row r="17" spans="3:10">
      <c r="C17" s="2">
        <v>62.3</v>
      </c>
      <c r="D17" s="2">
        <v>83.7</v>
      </c>
      <c r="E17">
        <v>13.89888</v>
      </c>
      <c r="F17" s="9">
        <v>8.9751408000000019</v>
      </c>
      <c r="G17">
        <f t="shared" si="0"/>
        <v>22.702235017145309</v>
      </c>
      <c r="H17">
        <v>11</v>
      </c>
      <c r="I17">
        <f t="shared" si="1"/>
        <v>38.043714802214026</v>
      </c>
      <c r="J17">
        <f t="shared" si="2"/>
        <v>0.45452466908260486</v>
      </c>
    </row>
    <row r="18" spans="3:10">
      <c r="C18" s="2">
        <v>62.9</v>
      </c>
      <c r="D18" s="2">
        <v>84.2</v>
      </c>
      <c r="E18">
        <v>13.716000000000001</v>
      </c>
      <c r="F18" s="9">
        <v>9.0665808000000006</v>
      </c>
      <c r="G18">
        <f t="shared" si="0"/>
        <v>22.736319086688475</v>
      </c>
      <c r="H18">
        <v>12</v>
      </c>
      <c r="I18">
        <f t="shared" si="1"/>
        <v>37.782342034458267</v>
      </c>
      <c r="J18">
        <f t="shared" si="2"/>
        <v>0.44872140183442122</v>
      </c>
    </row>
    <row r="19" spans="3:10">
      <c r="C19" s="2">
        <v>63.5</v>
      </c>
      <c r="D19" s="2">
        <v>84.6</v>
      </c>
      <c r="E19">
        <v>13.53312</v>
      </c>
      <c r="F19" s="9">
        <v>9.158020800000001</v>
      </c>
      <c r="G19">
        <f t="shared" si="0"/>
        <v>22.773289547786693</v>
      </c>
      <c r="H19">
        <v>13</v>
      </c>
      <c r="I19">
        <f t="shared" si="1"/>
        <v>37.520969266702522</v>
      </c>
      <c r="J19">
        <f t="shared" si="2"/>
        <v>0.44351027502012441</v>
      </c>
    </row>
    <row r="20" spans="3:10">
      <c r="C20" s="2">
        <v>64.099999999999994</v>
      </c>
      <c r="D20" s="2">
        <v>85.1</v>
      </c>
      <c r="E20">
        <v>13.350239999999999</v>
      </c>
      <c r="F20" s="9">
        <v>9.2400120000000001</v>
      </c>
      <c r="G20">
        <f t="shared" si="0"/>
        <v>22.797811190949361</v>
      </c>
      <c r="H20">
        <v>14</v>
      </c>
      <c r="I20">
        <f t="shared" si="1"/>
        <v>37.248809818281529</v>
      </c>
      <c r="J20">
        <f t="shared" si="2"/>
        <v>0.43770634334055852</v>
      </c>
    </row>
    <row r="21" spans="3:10">
      <c r="C21" s="2">
        <v>64.599999999999994</v>
      </c>
      <c r="D21" s="2">
        <v>85.5</v>
      </c>
      <c r="E21">
        <v>13.16736</v>
      </c>
      <c r="F21" s="9">
        <v>9.3201744000000009</v>
      </c>
      <c r="G21">
        <f t="shared" si="0"/>
        <v>22.821962508847953</v>
      </c>
      <c r="H21">
        <v>15</v>
      </c>
      <c r="I21">
        <f t="shared" si="1"/>
        <v>36.974562625215661</v>
      </c>
      <c r="J21">
        <f t="shared" si="2"/>
        <v>0.43245102485632353</v>
      </c>
    </row>
    <row r="22" spans="3:10">
      <c r="C22" s="2">
        <v>65.2</v>
      </c>
      <c r="D22" s="2">
        <v>85.9</v>
      </c>
      <c r="E22">
        <v>12.98448</v>
      </c>
      <c r="F22" s="9">
        <v>9.3991176000000003</v>
      </c>
      <c r="G22">
        <f t="shared" si="0"/>
        <v>22.84667081885059</v>
      </c>
      <c r="H22">
        <v>16</v>
      </c>
      <c r="I22">
        <f t="shared" si="1"/>
        <v>36.698923602386529</v>
      </c>
      <c r="J22">
        <f t="shared" si="2"/>
        <v>0.42722844705921453</v>
      </c>
    </row>
    <row r="23" spans="3:10">
      <c r="C23" s="2">
        <v>65.7</v>
      </c>
      <c r="D23" s="2">
        <v>86.3</v>
      </c>
      <c r="E23">
        <v>12.801600000000001</v>
      </c>
      <c r="F23" s="9">
        <v>9.4698312000000016</v>
      </c>
      <c r="G23">
        <f t="shared" si="0"/>
        <v>22.86026627985715</v>
      </c>
      <c r="H23">
        <v>17</v>
      </c>
      <c r="I23">
        <f t="shared" si="1"/>
        <v>36.41388972865542</v>
      </c>
      <c r="J23">
        <f t="shared" si="2"/>
        <v>0.42194541979901995</v>
      </c>
    </row>
    <row r="24" spans="3:10">
      <c r="C24" s="2">
        <v>66.2</v>
      </c>
      <c r="D24" s="2">
        <v>86.7</v>
      </c>
      <c r="E24">
        <v>12.618720000000001</v>
      </c>
      <c r="F24" s="9">
        <v>9.5405447999999993</v>
      </c>
      <c r="G24">
        <f t="shared" si="0"/>
        <v>22.87619012776446</v>
      </c>
      <c r="H24">
        <v>18</v>
      </c>
      <c r="I24">
        <f t="shared" si="1"/>
        <v>36.128855854924304</v>
      </c>
      <c r="J24">
        <f t="shared" si="2"/>
        <v>0.41671114019520533</v>
      </c>
    </row>
    <row r="25" spans="3:10">
      <c r="C25" s="2">
        <v>66.7</v>
      </c>
      <c r="D25" s="2">
        <v>87.1</v>
      </c>
      <c r="E25">
        <v>12.435840000000001</v>
      </c>
      <c r="F25" s="9">
        <v>9.6088199999999997</v>
      </c>
      <c r="G25">
        <f t="shared" si="0"/>
        <v>22.890343022226645</v>
      </c>
      <c r="H25">
        <v>19</v>
      </c>
      <c r="I25">
        <f t="shared" si="1"/>
        <v>35.841038321666673</v>
      </c>
      <c r="J25">
        <f t="shared" si="2"/>
        <v>0.4114929772866438</v>
      </c>
    </row>
    <row r="26" spans="3:10">
      <c r="C26" s="2">
        <v>67.2</v>
      </c>
      <c r="D26" s="2">
        <v>87.4</v>
      </c>
      <c r="E26">
        <v>12.25296</v>
      </c>
      <c r="F26" s="9">
        <v>9.6716087999999996</v>
      </c>
      <c r="G26">
        <f t="shared" si="0"/>
        <v>22.897491039031976</v>
      </c>
      <c r="H26">
        <v>20</v>
      </c>
      <c r="I26">
        <f t="shared" si="1"/>
        <v>35.546957554474389</v>
      </c>
      <c r="J26">
        <f t="shared" si="2"/>
        <v>0.40671576149284194</v>
      </c>
    </row>
    <row r="27" spans="3:10">
      <c r="C27" s="2">
        <v>67.8</v>
      </c>
      <c r="D27" s="2">
        <v>87.7</v>
      </c>
      <c r="E27">
        <v>12.070080000000001</v>
      </c>
      <c r="F27" s="9">
        <v>9.7347023999999998</v>
      </c>
      <c r="G27">
        <f t="shared" si="0"/>
        <v>22.907303518150343</v>
      </c>
      <c r="H27">
        <v>21</v>
      </c>
      <c r="I27">
        <f t="shared" si="1"/>
        <v>35.253224744722928</v>
      </c>
      <c r="J27">
        <f t="shared" si="2"/>
        <v>0.40197519663310066</v>
      </c>
    </row>
    <row r="28" spans="3:10">
      <c r="F28" s="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J58"/>
  <sheetViews>
    <sheetView topLeftCell="A31" workbookViewId="0">
      <selection activeCell="B28" sqref="B28:B58"/>
    </sheetView>
  </sheetViews>
  <sheetFormatPr defaultRowHeight="15"/>
  <sheetData>
    <row r="2" spans="2:10">
      <c r="J2" t="s">
        <v>55</v>
      </c>
    </row>
    <row r="3" spans="2:10">
      <c r="B3" t="s">
        <v>43</v>
      </c>
      <c r="D3" t="s">
        <v>44</v>
      </c>
      <c r="E3" t="s">
        <v>26</v>
      </c>
      <c r="G3" t="s">
        <v>37</v>
      </c>
      <c r="J3" t="s">
        <v>54</v>
      </c>
    </row>
    <row r="4" spans="2:10">
      <c r="B4">
        <v>0</v>
      </c>
      <c r="C4">
        <f>SQRT(B4)</f>
        <v>0</v>
      </c>
      <c r="D4">
        <v>0</v>
      </c>
      <c r="G4">
        <v>0</v>
      </c>
      <c r="J4" t="s">
        <v>52</v>
      </c>
    </row>
    <row r="5" spans="2:10">
      <c r="B5">
        <v>1.1000000000000001</v>
      </c>
      <c r="C5">
        <f t="shared" ref="C5:C21" si="0">SQRT(B5)</f>
        <v>1.0488088481701516</v>
      </c>
      <c r="D5">
        <v>0.91439999999999999</v>
      </c>
      <c r="E5">
        <v>0.3</v>
      </c>
      <c r="G5" s="30">
        <f t="shared" ref="G5:G21" si="1">SIN(RADIANS(E5)*2)</f>
        <v>1.0471784116245792E-2</v>
      </c>
      <c r="J5" t="s">
        <v>53</v>
      </c>
    </row>
    <row r="6" spans="2:10">
      <c r="B6">
        <v>2.2999999999999998</v>
      </c>
      <c r="C6">
        <f t="shared" si="0"/>
        <v>1.51657508881031</v>
      </c>
      <c r="D6">
        <v>1.8288</v>
      </c>
      <c r="E6">
        <v>0.8</v>
      </c>
      <c r="G6" s="30">
        <f t="shared" si="1"/>
        <v>2.7921638723568881E-2</v>
      </c>
    </row>
    <row r="7" spans="2:10">
      <c r="B7">
        <v>3.7</v>
      </c>
      <c r="C7">
        <f t="shared" si="0"/>
        <v>1.9235384061671346</v>
      </c>
      <c r="D7">
        <v>2.7431999999999999</v>
      </c>
      <c r="E7">
        <v>1.3</v>
      </c>
      <c r="G7" s="30">
        <f t="shared" si="1"/>
        <v>4.5362988129253781E-2</v>
      </c>
    </row>
    <row r="8" spans="2:10">
      <c r="B8">
        <v>5.4</v>
      </c>
      <c r="C8">
        <f t="shared" si="0"/>
        <v>2.3237900077244502</v>
      </c>
      <c r="D8">
        <v>3.6576</v>
      </c>
      <c r="E8">
        <v>1.9</v>
      </c>
      <c r="G8" s="30">
        <f t="shared" si="1"/>
        <v>6.6273900400000141E-2</v>
      </c>
    </row>
    <row r="9" spans="2:10">
      <c r="B9">
        <v>7.3</v>
      </c>
      <c r="C9">
        <f t="shared" si="0"/>
        <v>2.7018512172212592</v>
      </c>
      <c r="D9">
        <v>4.5720000000000001</v>
      </c>
      <c r="E9">
        <v>2.6</v>
      </c>
      <c r="G9" s="30">
        <f t="shared" si="1"/>
        <v>9.0632580197780158E-2</v>
      </c>
    </row>
    <row r="10" spans="2:10">
      <c r="B10">
        <v>9.6</v>
      </c>
      <c r="C10">
        <f t="shared" si="0"/>
        <v>3.0983866769659336</v>
      </c>
      <c r="D10">
        <v>5.4863999999999997</v>
      </c>
      <c r="E10">
        <v>3.6</v>
      </c>
      <c r="G10" s="30">
        <f t="shared" si="1"/>
        <v>0.12533323356430426</v>
      </c>
    </row>
    <row r="11" spans="2:10">
      <c r="B11">
        <v>12.2</v>
      </c>
      <c r="C11">
        <f t="shared" si="0"/>
        <v>3.4928498393145961</v>
      </c>
      <c r="D11">
        <v>6.4008000000000003</v>
      </c>
      <c r="E11">
        <v>4.8</v>
      </c>
      <c r="G11" s="30">
        <f t="shared" si="1"/>
        <v>0.16676874671610226</v>
      </c>
    </row>
    <row r="12" spans="2:10">
      <c r="B12">
        <v>15.2</v>
      </c>
      <c r="C12">
        <f t="shared" si="0"/>
        <v>3.8987177379235853</v>
      </c>
      <c r="D12">
        <v>7.3151999999999999</v>
      </c>
      <c r="E12">
        <v>6.3</v>
      </c>
      <c r="G12" s="30">
        <f t="shared" si="1"/>
        <v>0.21814324139654254</v>
      </c>
    </row>
    <row r="13" spans="2:10">
      <c r="B13">
        <v>18.3</v>
      </c>
      <c r="C13">
        <f t="shared" si="0"/>
        <v>4.2778499272414878</v>
      </c>
      <c r="D13">
        <v>8.2295999999999996</v>
      </c>
      <c r="E13">
        <v>8</v>
      </c>
      <c r="G13" s="30">
        <f t="shared" si="1"/>
        <v>0.27563735581699916</v>
      </c>
    </row>
    <row r="14" spans="2:10">
      <c r="B14">
        <v>21.5</v>
      </c>
      <c r="C14">
        <f t="shared" si="0"/>
        <v>4.636809247747852</v>
      </c>
      <c r="D14">
        <v>9.1440000000000001</v>
      </c>
      <c r="E14">
        <v>10.1</v>
      </c>
      <c r="G14" s="30">
        <f t="shared" si="1"/>
        <v>0.34529819899853464</v>
      </c>
    </row>
    <row r="15" spans="2:10">
      <c r="B15">
        <v>25</v>
      </c>
      <c r="C15">
        <f t="shared" si="0"/>
        <v>5</v>
      </c>
      <c r="D15">
        <v>10.058399999999999</v>
      </c>
      <c r="E15">
        <v>12.3</v>
      </c>
      <c r="G15" s="30">
        <f t="shared" si="1"/>
        <v>0.41628079226040121</v>
      </c>
    </row>
    <row r="16" spans="2:10">
      <c r="B16">
        <v>28.8</v>
      </c>
      <c r="C16">
        <f t="shared" si="0"/>
        <v>5.3665631459994954</v>
      </c>
      <c r="D16">
        <v>10.972799999999999</v>
      </c>
      <c r="E16">
        <v>14.9</v>
      </c>
      <c r="G16" s="30">
        <f t="shared" si="1"/>
        <v>0.49697396102755537</v>
      </c>
    </row>
    <row r="17" spans="2:10">
      <c r="B17">
        <v>32.799999999999997</v>
      </c>
      <c r="C17">
        <f t="shared" si="0"/>
        <v>5.727128425310541</v>
      </c>
      <c r="D17">
        <v>11.887199999999998</v>
      </c>
      <c r="E17">
        <v>17.8</v>
      </c>
      <c r="G17" s="30">
        <f t="shared" si="1"/>
        <v>0.58212297015728942</v>
      </c>
    </row>
    <row r="18" spans="2:10">
      <c r="B18">
        <v>37.200000000000003</v>
      </c>
      <c r="C18">
        <f t="shared" si="0"/>
        <v>6.0991802727907629</v>
      </c>
      <c r="D18">
        <v>12.801600000000001</v>
      </c>
      <c r="E18">
        <v>21</v>
      </c>
      <c r="G18" s="30">
        <f t="shared" si="1"/>
        <v>0.66913060635885824</v>
      </c>
    </row>
    <row r="19" spans="2:10">
      <c r="B19">
        <v>42.2</v>
      </c>
      <c r="C19">
        <f t="shared" si="0"/>
        <v>6.4961527075646863</v>
      </c>
      <c r="D19">
        <v>13.715999999999999</v>
      </c>
      <c r="E19">
        <v>24.8</v>
      </c>
      <c r="G19" s="30">
        <f t="shared" si="1"/>
        <v>0.76153830753673668</v>
      </c>
    </row>
    <row r="20" spans="2:10">
      <c r="B20">
        <v>48</v>
      </c>
      <c r="C20">
        <f t="shared" si="0"/>
        <v>6.9282032302755088</v>
      </c>
      <c r="D20">
        <v>14.6304</v>
      </c>
      <c r="E20">
        <v>29.4</v>
      </c>
      <c r="G20" s="30">
        <f t="shared" si="1"/>
        <v>0.8553642601605066</v>
      </c>
    </row>
    <row r="21" spans="2:10">
      <c r="B21">
        <v>55.8</v>
      </c>
      <c r="C21">
        <f t="shared" si="0"/>
        <v>7.469939758793239</v>
      </c>
      <c r="D21">
        <v>15.544799999999999</v>
      </c>
      <c r="E21">
        <v>35.9</v>
      </c>
      <c r="G21" s="30">
        <f t="shared" si="1"/>
        <v>0.94997205152465247</v>
      </c>
    </row>
    <row r="25" spans="2:10">
      <c r="J25" t="s">
        <v>56</v>
      </c>
    </row>
    <row r="26" spans="2:10">
      <c r="J26" t="s">
        <v>57</v>
      </c>
    </row>
    <row r="27" spans="2:10">
      <c r="J27" t="s">
        <v>58</v>
      </c>
    </row>
    <row r="28" spans="2:10">
      <c r="B28">
        <v>1</v>
      </c>
      <c r="F28">
        <f xml:space="preserve"> 0.000633297*POWER(B28,3) - 0.015931548*POWER(B28,2) + 0.534878524*B28 + 0.565785555</f>
        <v>1.085365828</v>
      </c>
      <c r="G28">
        <f>POWER(F28,2)</f>
        <v>1.1780189805901256</v>
      </c>
    </row>
    <row r="29" spans="2:10">
      <c r="B29">
        <v>1.5</v>
      </c>
      <c r="F29">
        <f t="shared" ref="F29:F58" si="2" xml:space="preserve"> 0.000633297*POWER(B29,3) - 0.015931548*POWER(B29,2) + 0.534878524*B29 + 0.565785555</f>
        <v>1.3343947353750001</v>
      </c>
      <c r="G29">
        <f t="shared" ref="G29:G58" si="3">POWER(F29,2)</f>
        <v>1.7806093097965165</v>
      </c>
    </row>
    <row r="30" spans="2:10">
      <c r="B30">
        <v>2</v>
      </c>
      <c r="F30">
        <f t="shared" si="2"/>
        <v>1.5768827870000002</v>
      </c>
      <c r="G30">
        <f t="shared" si="3"/>
        <v>2.4865593239368877</v>
      </c>
    </row>
    <row r="31" spans="2:10">
      <c r="B31">
        <v>2.5</v>
      </c>
      <c r="F31">
        <f t="shared" si="2"/>
        <v>1.813304955625</v>
      </c>
      <c r="G31">
        <f t="shared" si="3"/>
        <v>3.2880748620941835</v>
      </c>
    </row>
    <row r="32" spans="2:10">
      <c r="B32">
        <v>3</v>
      </c>
      <c r="F32">
        <f t="shared" si="2"/>
        <v>2.0441362140000003</v>
      </c>
      <c r="G32">
        <f t="shared" si="3"/>
        <v>4.1784928613862551</v>
      </c>
    </row>
    <row r="33" spans="2:7">
      <c r="B33">
        <v>3.5</v>
      </c>
      <c r="F33">
        <f t="shared" si="2"/>
        <v>2.2698515348750004</v>
      </c>
      <c r="G33">
        <f t="shared" si="3"/>
        <v>5.1522259903743945</v>
      </c>
    </row>
    <row r="34" spans="2:7">
      <c r="B34">
        <v>4</v>
      </c>
      <c r="F34">
        <f t="shared" si="2"/>
        <v>2.4909258910000003</v>
      </c>
      <c r="G34">
        <f t="shared" si="3"/>
        <v>6.2047117944541457</v>
      </c>
    </row>
    <row r="35" spans="2:7">
      <c r="B35">
        <v>4.5</v>
      </c>
      <c r="F35">
        <f t="shared" si="2"/>
        <v>2.7078342551250003</v>
      </c>
      <c r="G35">
        <f t="shared" si="3"/>
        <v>7.3323663532283652</v>
      </c>
    </row>
    <row r="36" spans="2:7">
      <c r="B36">
        <v>5</v>
      </c>
      <c r="F36">
        <f t="shared" si="2"/>
        <v>2.9210516000000002</v>
      </c>
      <c r="G36">
        <f t="shared" si="3"/>
        <v>8.5325424498625608</v>
      </c>
    </row>
    <row r="37" spans="2:7">
      <c r="B37">
        <v>5.5</v>
      </c>
      <c r="F37">
        <f t="shared" si="2"/>
        <v>3.1310528983750006</v>
      </c>
      <c r="G37">
        <f t="shared" si="3"/>
        <v>9.8034922524224921</v>
      </c>
    </row>
    <row r="38" spans="2:7">
      <c r="B38">
        <v>6</v>
      </c>
      <c r="F38">
        <f t="shared" si="2"/>
        <v>3.3383131230000003</v>
      </c>
      <c r="G38">
        <f t="shared" si="3"/>
        <v>11.144334507194015</v>
      </c>
    </row>
    <row r="39" spans="2:7">
      <c r="B39">
        <v>6.5</v>
      </c>
      <c r="F39">
        <f t="shared" si="2"/>
        <v>3.5433072466250004</v>
      </c>
      <c r="G39">
        <f t="shared" si="3"/>
        <v>12.555026243985241</v>
      </c>
    </row>
    <row r="40" spans="2:7">
      <c r="B40">
        <v>7</v>
      </c>
      <c r="F40">
        <f t="shared" si="2"/>
        <v>3.7465102420000007</v>
      </c>
      <c r="G40">
        <f t="shared" si="3"/>
        <v>14.036338993410904</v>
      </c>
    </row>
    <row r="41" spans="2:7">
      <c r="B41">
        <v>7.5</v>
      </c>
      <c r="F41">
        <f t="shared" si="2"/>
        <v>3.9483970818750005</v>
      </c>
      <c r="G41">
        <f t="shared" si="3"/>
        <v>15.589839516159019</v>
      </c>
    </row>
    <row r="42" spans="2:7">
      <c r="B42">
        <v>8</v>
      </c>
      <c r="F42">
        <f t="shared" si="2"/>
        <v>4.1494427390000004</v>
      </c>
      <c r="G42">
        <f t="shared" si="3"/>
        <v>17.217875044239825</v>
      </c>
    </row>
    <row r="43" spans="2:7">
      <c r="B43">
        <v>8.5</v>
      </c>
      <c r="F43">
        <f t="shared" si="2"/>
        <v>4.3501221861249997</v>
      </c>
      <c r="G43">
        <f t="shared" si="3"/>
        <v>18.923563034216947</v>
      </c>
    </row>
    <row r="44" spans="2:7">
      <c r="B44">
        <v>9</v>
      </c>
      <c r="F44">
        <f t="shared" si="2"/>
        <v>4.5509103959999999</v>
      </c>
      <c r="G44">
        <f t="shared" si="3"/>
        <v>20.710785432420877</v>
      </c>
    </row>
    <row r="45" spans="2:7">
      <c r="B45">
        <v>9.5</v>
      </c>
      <c r="F45">
        <f t="shared" si="2"/>
        <v>4.7522823413749995</v>
      </c>
      <c r="G45">
        <f t="shared" si="3"/>
        <v>22.584187452144647</v>
      </c>
    </row>
    <row r="46" spans="2:7">
      <c r="B46">
        <v>10</v>
      </c>
      <c r="F46">
        <f t="shared" si="2"/>
        <v>4.9547129949999995</v>
      </c>
      <c r="G46">
        <f t="shared" si="3"/>
        <v>24.549180862821864</v>
      </c>
    </row>
    <row r="47" spans="2:7">
      <c r="B47">
        <v>10.5</v>
      </c>
      <c r="F47">
        <f t="shared" si="2"/>
        <v>5.1586773296250001</v>
      </c>
      <c r="G47">
        <f t="shared" si="3"/>
        <v>26.611951791186922</v>
      </c>
    </row>
    <row r="48" spans="2:7">
      <c r="B48">
        <v>11</v>
      </c>
      <c r="F48">
        <f t="shared" si="2"/>
        <v>5.3646503180000007</v>
      </c>
      <c r="G48">
        <f t="shared" si="3"/>
        <v>28.77947303441751</v>
      </c>
    </row>
    <row r="49" spans="2:7">
      <c r="B49">
        <v>11.5</v>
      </c>
      <c r="F49">
        <f t="shared" si="2"/>
        <v>5.5731069328749996</v>
      </c>
      <c r="G49">
        <f t="shared" si="3"/>
        <v>31.059520885259385</v>
      </c>
    </row>
    <row r="50" spans="2:7">
      <c r="B50">
        <v>12</v>
      </c>
      <c r="F50">
        <f t="shared" si="2"/>
        <v>5.7845221470000006</v>
      </c>
      <c r="G50">
        <f t="shared" si="3"/>
        <v>33.460696469133495</v>
      </c>
    </row>
    <row r="51" spans="2:7">
      <c r="B51">
        <v>12.5</v>
      </c>
      <c r="F51">
        <f t="shared" si="2"/>
        <v>5.9993709331250002</v>
      </c>
      <c r="G51">
        <f t="shared" si="3"/>
        <v>35.992451593225134</v>
      </c>
    </row>
    <row r="52" spans="2:7">
      <c r="B52">
        <v>13</v>
      </c>
      <c r="F52">
        <f t="shared" si="2"/>
        <v>6.2181282639999997</v>
      </c>
      <c r="G52">
        <f t="shared" si="3"/>
        <v>38.665119107555654</v>
      </c>
    </row>
    <row r="53" spans="2:7">
      <c r="B53">
        <v>13.5</v>
      </c>
      <c r="F53">
        <f t="shared" si="2"/>
        <v>6.4412691123750001</v>
      </c>
      <c r="G53">
        <f t="shared" si="3"/>
        <v>41.489947778036225</v>
      </c>
    </row>
    <row r="54" spans="2:7">
      <c r="B54">
        <v>14</v>
      </c>
      <c r="F54">
        <f t="shared" si="2"/>
        <v>6.6692684510000007</v>
      </c>
      <c r="G54">
        <f t="shared" si="3"/>
        <v>44.479141671503946</v>
      </c>
    </row>
    <row r="55" spans="2:7">
      <c r="B55">
        <v>14.5</v>
      </c>
      <c r="F55">
        <f t="shared" si="2"/>
        <v>6.9026012526250007</v>
      </c>
      <c r="G55">
        <f t="shared" si="3"/>
        <v>47.645904052740228</v>
      </c>
    </row>
    <row r="56" spans="2:7">
      <c r="B56">
        <v>15</v>
      </c>
      <c r="F56">
        <f t="shared" si="2"/>
        <v>7.1417424900000004</v>
      </c>
      <c r="G56">
        <f t="shared" si="3"/>
        <v>51.004485793471403</v>
      </c>
    </row>
    <row r="57" spans="2:7">
      <c r="B57">
        <v>15.5</v>
      </c>
      <c r="F57">
        <f t="shared" si="2"/>
        <v>7.387167135875</v>
      </c>
      <c r="G57">
        <f t="shared" si="3"/>
        <v>54.57023829335165</v>
      </c>
    </row>
    <row r="58" spans="2:7">
      <c r="B58">
        <v>16</v>
      </c>
      <c r="F58">
        <f t="shared" si="2"/>
        <v>7.6393501629999996</v>
      </c>
      <c r="G58">
        <f t="shared" si="3"/>
        <v>58.359670912928124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4:H75"/>
  <sheetViews>
    <sheetView topLeftCell="A7" workbookViewId="0">
      <selection activeCell="J71" sqref="J71"/>
    </sheetView>
  </sheetViews>
  <sheetFormatPr defaultRowHeight="15"/>
  <cols>
    <col min="1" max="1" width="14.7109375" customWidth="1"/>
    <col min="2" max="2" width="10.42578125" customWidth="1"/>
    <col min="7" max="7" width="13.28515625" customWidth="1"/>
    <col min="8" max="8" width="12.28515625" customWidth="1"/>
  </cols>
  <sheetData>
    <row r="4" spans="1:4">
      <c r="B4" t="s">
        <v>11</v>
      </c>
      <c r="C4" t="s">
        <v>9</v>
      </c>
      <c r="D4" s="7" t="s">
        <v>8</v>
      </c>
    </row>
    <row r="5" spans="1:4">
      <c r="A5">
        <f>SIN(RADIANS(B5)*2)</f>
        <v>1.0471784116245792E-2</v>
      </c>
      <c r="B5" s="6">
        <v>0.3</v>
      </c>
      <c r="C5" s="6">
        <v>0.91439999999999999</v>
      </c>
      <c r="D5">
        <f>SQRT(A5)</f>
        <v>0.10233173562607932</v>
      </c>
    </row>
    <row r="6" spans="1:4">
      <c r="A6">
        <f>SIN(RADIANS(B6)*2)</f>
        <v>2.7921638723568881E-2</v>
      </c>
      <c r="B6" s="6">
        <v>0.8</v>
      </c>
      <c r="C6" s="6">
        <v>1.8288</v>
      </c>
      <c r="D6">
        <f>SQRT(A6)</f>
        <v>0.16709769215512488</v>
      </c>
    </row>
    <row r="7" spans="1:4">
      <c r="A7">
        <f t="shared" ref="A7:A21" si="0">SIN(RADIANS(B7)*2)</f>
        <v>4.5362988129253781E-2</v>
      </c>
      <c r="B7" s="6">
        <v>1.3</v>
      </c>
      <c r="C7" s="6">
        <v>2.7431999999999999</v>
      </c>
      <c r="D7">
        <f t="shared" ref="D7:D21" si="1">SQRT(A7)</f>
        <v>0.21298588715981578</v>
      </c>
    </row>
    <row r="8" spans="1:4">
      <c r="A8">
        <f t="shared" si="0"/>
        <v>6.6273900400000141E-2</v>
      </c>
      <c r="B8" s="6">
        <v>1.9</v>
      </c>
      <c r="C8" s="6">
        <v>3.6576</v>
      </c>
      <c r="D8">
        <f t="shared" si="1"/>
        <v>0.25743717757930795</v>
      </c>
    </row>
    <row r="9" spans="1:4">
      <c r="A9">
        <f t="shared" si="0"/>
        <v>9.0632580197780158E-2</v>
      </c>
      <c r="B9" s="6">
        <v>2.6</v>
      </c>
      <c r="C9" s="6">
        <v>4.5720000000000001</v>
      </c>
      <c r="D9">
        <f t="shared" si="1"/>
        <v>0.3010524542297906</v>
      </c>
    </row>
    <row r="10" spans="1:4">
      <c r="A10">
        <f t="shared" si="0"/>
        <v>0.12533323356430426</v>
      </c>
      <c r="B10" s="6">
        <v>3.6</v>
      </c>
      <c r="C10" s="6">
        <v>5.4863999999999997</v>
      </c>
      <c r="D10">
        <f t="shared" si="1"/>
        <v>0.35402434035572222</v>
      </c>
    </row>
    <row r="11" spans="1:4">
      <c r="A11">
        <f t="shared" si="0"/>
        <v>0.16676874671610226</v>
      </c>
      <c r="B11" s="6">
        <v>4.8</v>
      </c>
      <c r="C11" s="6">
        <v>6.4008000000000003</v>
      </c>
      <c r="D11">
        <f t="shared" si="1"/>
        <v>0.40837329334336037</v>
      </c>
    </row>
    <row r="12" spans="1:4">
      <c r="A12">
        <f t="shared" si="0"/>
        <v>0.21814324139654254</v>
      </c>
      <c r="B12" s="6">
        <v>6.3</v>
      </c>
      <c r="C12" s="6">
        <v>7.3151999999999999</v>
      </c>
      <c r="D12">
        <f t="shared" si="1"/>
        <v>0.46705807068986888</v>
      </c>
    </row>
    <row r="13" spans="1:4">
      <c r="A13">
        <f t="shared" si="0"/>
        <v>0.27563735581699916</v>
      </c>
      <c r="B13" s="6">
        <v>8</v>
      </c>
      <c r="C13" s="6">
        <v>8.2296000000000014</v>
      </c>
      <c r="D13">
        <f>SQRT(A13)</f>
        <v>0.52501176731288524</v>
      </c>
    </row>
    <row r="14" spans="1:4">
      <c r="A14">
        <f t="shared" si="0"/>
        <v>0.34529819899853464</v>
      </c>
      <c r="B14" s="6">
        <v>10.1</v>
      </c>
      <c r="C14" s="6">
        <v>9.1440000000000001</v>
      </c>
      <c r="D14">
        <f t="shared" si="1"/>
        <v>0.58762079524003796</v>
      </c>
    </row>
    <row r="15" spans="1:4">
      <c r="A15">
        <f t="shared" si="0"/>
        <v>0.41628079226040121</v>
      </c>
      <c r="B15" s="6">
        <v>12.3</v>
      </c>
      <c r="C15" s="6">
        <v>10.058400000000001</v>
      </c>
      <c r="D15">
        <f t="shared" si="1"/>
        <v>0.64519825810397324</v>
      </c>
    </row>
    <row r="16" spans="1:4">
      <c r="A16">
        <f t="shared" si="0"/>
        <v>0.49697396102755537</v>
      </c>
      <c r="B16" s="6">
        <v>14.9</v>
      </c>
      <c r="C16" s="6">
        <v>10.972799999999999</v>
      </c>
      <c r="D16">
        <f t="shared" si="1"/>
        <v>0.70496380121787483</v>
      </c>
    </row>
    <row r="17" spans="1:4">
      <c r="A17">
        <f t="shared" si="0"/>
        <v>0.58212297015728942</v>
      </c>
      <c r="B17" s="6">
        <v>17.8</v>
      </c>
      <c r="C17" s="6">
        <v>11.8872</v>
      </c>
      <c r="D17">
        <f t="shared" si="1"/>
        <v>0.76296983567981858</v>
      </c>
    </row>
    <row r="18" spans="1:4">
      <c r="A18">
        <f t="shared" si="0"/>
        <v>0.66913060635885824</v>
      </c>
      <c r="B18" s="6">
        <v>21</v>
      </c>
      <c r="C18" s="6">
        <v>12.801600000000001</v>
      </c>
      <c r="D18">
        <f t="shared" si="1"/>
        <v>0.81800403810669431</v>
      </c>
    </row>
    <row r="19" spans="1:4">
      <c r="A19">
        <f t="shared" si="0"/>
        <v>0.76153830753673668</v>
      </c>
      <c r="B19" s="6">
        <v>24.8</v>
      </c>
      <c r="C19" s="6">
        <v>13.716000000000001</v>
      </c>
      <c r="D19">
        <f t="shared" si="1"/>
        <v>0.87266162258732149</v>
      </c>
    </row>
    <row r="20" spans="1:4">
      <c r="A20">
        <f t="shared" si="0"/>
        <v>0.8553642601605066</v>
      </c>
      <c r="B20" s="6">
        <v>29.4</v>
      </c>
      <c r="C20" s="6">
        <v>14.6304</v>
      </c>
      <c r="D20">
        <f t="shared" si="1"/>
        <v>0.92485904880717185</v>
      </c>
    </row>
    <row r="21" spans="1:4">
      <c r="A21">
        <f t="shared" si="0"/>
        <v>0.94997205152465247</v>
      </c>
      <c r="B21" s="6">
        <v>35.9</v>
      </c>
      <c r="C21" s="6">
        <v>15.5448</v>
      </c>
      <c r="D21">
        <f t="shared" si="1"/>
        <v>0.97466509711010607</v>
      </c>
    </row>
    <row r="22" spans="1:4">
      <c r="B22" s="6"/>
      <c r="C22" s="6"/>
    </row>
    <row r="23" spans="1:4">
      <c r="B23" s="28"/>
      <c r="C23" s="28"/>
    </row>
    <row r="24" spans="1:4">
      <c r="B24" s="28"/>
      <c r="C24" s="28"/>
    </row>
    <row r="25" spans="1:4">
      <c r="B25" s="28"/>
      <c r="C25" s="28"/>
    </row>
    <row r="26" spans="1:4">
      <c r="B26" t="s">
        <v>26</v>
      </c>
      <c r="C26" t="s">
        <v>25</v>
      </c>
      <c r="D26" t="s">
        <v>27</v>
      </c>
    </row>
    <row r="27" spans="1:4">
      <c r="B27">
        <v>0.3</v>
      </c>
      <c r="C27">
        <v>1.524E-3</v>
      </c>
      <c r="D27" s="22">
        <f t="shared" ref="D27:D43" si="2">SIN(RADIANS(B27))</f>
        <v>5.2359638314195796E-3</v>
      </c>
    </row>
    <row r="28" spans="1:4">
      <c r="B28">
        <v>0.8</v>
      </c>
      <c r="C28">
        <v>6.7056000000000008E-3</v>
      </c>
      <c r="D28" s="22">
        <f t="shared" si="2"/>
        <v>1.3962180339145272E-2</v>
      </c>
    </row>
    <row r="29" spans="1:4">
      <c r="B29">
        <v>1.3</v>
      </c>
      <c r="C29">
        <v>1.7373599999999999E-2</v>
      </c>
      <c r="D29" s="22">
        <f t="shared" si="2"/>
        <v>2.2687333572781358E-2</v>
      </c>
    </row>
    <row r="30" spans="1:4">
      <c r="B30">
        <v>1.9</v>
      </c>
      <c r="C30">
        <v>3.5966400000000003E-2</v>
      </c>
      <c r="D30" s="22">
        <f t="shared" si="2"/>
        <v>3.3155178388526274E-2</v>
      </c>
    </row>
    <row r="31" spans="1:4">
      <c r="B31">
        <v>2.6</v>
      </c>
      <c r="C31">
        <v>6.6141599999999995E-2</v>
      </c>
      <c r="D31" s="22">
        <f t="shared" si="2"/>
        <v>4.5362988129253781E-2</v>
      </c>
    </row>
    <row r="32" spans="1:4">
      <c r="B32">
        <v>3.6</v>
      </c>
      <c r="C32">
        <v>0.11308080000000001</v>
      </c>
      <c r="D32" s="22">
        <f t="shared" si="2"/>
        <v>6.2790519529313374E-2</v>
      </c>
    </row>
    <row r="33" spans="2:7">
      <c r="B33">
        <v>4.8</v>
      </c>
      <c r="C33">
        <v>0.18684239999999999</v>
      </c>
      <c r="D33" s="22">
        <f t="shared" si="2"/>
        <v>8.3677843332315482E-2</v>
      </c>
    </row>
    <row r="34" spans="2:7">
      <c r="B34">
        <v>6.3</v>
      </c>
      <c r="C34">
        <v>0.294132</v>
      </c>
      <c r="D34" s="22">
        <f t="shared" si="2"/>
        <v>0.10973431109104527</v>
      </c>
    </row>
    <row r="35" spans="2:7">
      <c r="B35">
        <v>8</v>
      </c>
      <c r="C35">
        <v>0.43982640000000006</v>
      </c>
      <c r="D35" s="22">
        <f t="shared" si="2"/>
        <v>0.13917310096006544</v>
      </c>
    </row>
    <row r="36" spans="2:7">
      <c r="B36">
        <v>10.1</v>
      </c>
      <c r="C36">
        <v>0.62697360000000002</v>
      </c>
      <c r="D36" s="22">
        <f t="shared" si="2"/>
        <v>0.17536672609198711</v>
      </c>
    </row>
    <row r="37" spans="2:7">
      <c r="B37">
        <v>12.3</v>
      </c>
      <c r="C37">
        <v>0.86014560000000007</v>
      </c>
      <c r="D37" s="22">
        <f t="shared" si="2"/>
        <v>0.21303038627497659</v>
      </c>
    </row>
    <row r="38" spans="2:7">
      <c r="B38">
        <v>14.9</v>
      </c>
      <c r="C38">
        <v>1.1469624</v>
      </c>
      <c r="D38" s="22">
        <f t="shared" si="2"/>
        <v>0.25713279315469623</v>
      </c>
    </row>
    <row r="39" spans="2:7">
      <c r="B39">
        <v>17.8</v>
      </c>
      <c r="C39">
        <v>1.4962632000000002</v>
      </c>
      <c r="D39" s="22">
        <f t="shared" si="2"/>
        <v>0.30569530496310565</v>
      </c>
    </row>
    <row r="40" spans="2:7">
      <c r="B40">
        <v>21</v>
      </c>
      <c r="C40">
        <v>1.9245072000000001</v>
      </c>
      <c r="D40" s="22">
        <f t="shared" si="2"/>
        <v>0.35836794954530027</v>
      </c>
    </row>
    <row r="41" spans="2:7">
      <c r="B41">
        <v>24.8</v>
      </c>
      <c r="C41">
        <v>2.4588216000000003</v>
      </c>
      <c r="D41" s="22">
        <f t="shared" si="2"/>
        <v>0.4194520824461771</v>
      </c>
    </row>
    <row r="42" spans="2:7">
      <c r="B42">
        <v>29.4</v>
      </c>
      <c r="C42">
        <v>3.1629095999999999</v>
      </c>
      <c r="D42" s="22">
        <f t="shared" si="2"/>
        <v>0.49090375361514077</v>
      </c>
    </row>
    <row r="43" spans="2:7" ht="15.75">
      <c r="B43">
        <v>35.9</v>
      </c>
      <c r="C43">
        <v>4.2129456000000003</v>
      </c>
      <c r="D43" s="22">
        <f t="shared" si="2"/>
        <v>0.58637235673578925</v>
      </c>
      <c r="G43" s="5" t="s">
        <v>28</v>
      </c>
    </row>
    <row r="44" spans="2:7">
      <c r="G44" s="5" t="s">
        <v>29</v>
      </c>
    </row>
    <row r="49" spans="2:8">
      <c r="E49" s="28"/>
    </row>
    <row r="52" spans="2:8">
      <c r="G52" t="s">
        <v>30</v>
      </c>
    </row>
    <row r="53" spans="2:8">
      <c r="G53" t="s">
        <v>31</v>
      </c>
    </row>
    <row r="54" spans="2:8">
      <c r="F54" t="s">
        <v>32</v>
      </c>
      <c r="G54">
        <v>8.1414792200000008</v>
      </c>
    </row>
    <row r="55" spans="2:8">
      <c r="F55" t="s">
        <v>33</v>
      </c>
      <c r="G55">
        <v>2.542982055</v>
      </c>
    </row>
    <row r="56" spans="2:8">
      <c r="F56" t="s">
        <v>34</v>
      </c>
      <c r="H56">
        <v>5.4807125999999998E-2</v>
      </c>
    </row>
    <row r="58" spans="2:8">
      <c r="F58" t="s">
        <v>35</v>
      </c>
      <c r="G58" t="s">
        <v>36</v>
      </c>
    </row>
    <row r="59" spans="2:8">
      <c r="B59">
        <v>0.3</v>
      </c>
      <c r="C59">
        <v>1.524E-3</v>
      </c>
      <c r="D59" s="13">
        <v>5.2359638314195796E-3</v>
      </c>
      <c r="F59">
        <f xml:space="preserve"> (4 *$G$54 *C59 + ($G$55*$G$55) - 4 *$G$54 * $G$56)</f>
        <v>6.5163881893771425</v>
      </c>
      <c r="G59" s="6">
        <f xml:space="preserve"> (-$G$55 + SQRT(F59)) / (2 *$G$54)</f>
        <v>5.9815093919450254E-4</v>
      </c>
      <c r="H59">
        <f>DEGREES(ASIN(G59))</f>
        <v>3.4271526371268617E-2</v>
      </c>
    </row>
    <row r="60" spans="2:8">
      <c r="B60">
        <v>0.8</v>
      </c>
      <c r="C60">
        <v>6.7056000000000008E-3</v>
      </c>
      <c r="D60" s="13">
        <v>1.3962180339145272E-2</v>
      </c>
      <c r="F60">
        <f t="shared" ref="F60:F75" si="3" xml:space="preserve"> (4 *$G$54 *C60 + ($G$55*$G$55) - 4 *$G$54 * $G$56)</f>
        <v>6.6851317442825513</v>
      </c>
      <c r="G60" s="6">
        <f t="shared" ref="G60:G75" si="4" xml:space="preserve"> (-$G$55 + SQRT(F60)) / (2 *$G$54)</f>
        <v>2.615011084412173E-3</v>
      </c>
      <c r="H60">
        <f t="shared" ref="H60:H75" si="5">DEGREES(ASIN(G60))</f>
        <v>0.14982926927956716</v>
      </c>
    </row>
    <row r="61" spans="2:8">
      <c r="B61">
        <v>1.3</v>
      </c>
      <c r="C61">
        <v>1.7373599999999999E-2</v>
      </c>
      <c r="D61" s="13">
        <v>2.2687333572781358E-2</v>
      </c>
      <c r="F61">
        <f t="shared" si="3"/>
        <v>7.0325449455583913</v>
      </c>
      <c r="G61" s="6">
        <f t="shared" si="4"/>
        <v>6.6887439948668023E-3</v>
      </c>
      <c r="H61">
        <f t="shared" si="5"/>
        <v>0.38323965883100364</v>
      </c>
    </row>
    <row r="62" spans="2:8">
      <c r="B62">
        <v>1.9</v>
      </c>
      <c r="C62">
        <v>3.5966400000000003E-2</v>
      </c>
      <c r="D62" s="13">
        <v>3.3155178388526274E-2</v>
      </c>
      <c r="F62">
        <f t="shared" si="3"/>
        <v>7.6380365249248552</v>
      </c>
      <c r="G62" s="6">
        <f t="shared" si="4"/>
        <v>1.3555137110466273E-2</v>
      </c>
      <c r="H62">
        <f t="shared" si="5"/>
        <v>0.7766759330207188</v>
      </c>
    </row>
    <row r="63" spans="2:8">
      <c r="B63">
        <v>2.6</v>
      </c>
      <c r="C63">
        <v>6.6141599999999995E-2</v>
      </c>
      <c r="D63" s="13">
        <v>4.5362988129253781E-2</v>
      </c>
      <c r="F63">
        <f t="shared" si="3"/>
        <v>8.6207195799622305</v>
      </c>
      <c r="G63" s="6">
        <f t="shared" si="4"/>
        <v>2.4143286984718987E-2</v>
      </c>
      <c r="H63">
        <f t="shared" si="5"/>
        <v>1.3834428710855611</v>
      </c>
    </row>
    <row r="64" spans="2:8">
      <c r="B64">
        <v>3.6</v>
      </c>
      <c r="C64">
        <v>0.11308080000000001</v>
      </c>
      <c r="D64" s="13">
        <v>6.2790519529313374E-2</v>
      </c>
      <c r="F64">
        <f t="shared" si="3"/>
        <v>10.149337665575928</v>
      </c>
      <c r="G64" s="6">
        <f t="shared" si="4"/>
        <v>3.9478112194718348E-2</v>
      </c>
      <c r="H64">
        <f t="shared" si="5"/>
        <v>2.2625171685076806</v>
      </c>
    </row>
    <row r="65" spans="2:8">
      <c r="B65">
        <v>4.8</v>
      </c>
      <c r="C65">
        <v>0.18684239999999999</v>
      </c>
      <c r="D65" s="13">
        <v>8.3677843332315482E-2</v>
      </c>
      <c r="F65">
        <f t="shared" si="3"/>
        <v>12.551451800111735</v>
      </c>
      <c r="G65" s="6">
        <f t="shared" si="4"/>
        <v>6.1402893441001034E-2</v>
      </c>
      <c r="H65">
        <f t="shared" si="5"/>
        <v>3.5203411444686767</v>
      </c>
    </row>
    <row r="66" spans="2:8">
      <c r="B66">
        <v>6.3</v>
      </c>
      <c r="C66">
        <v>0.294132</v>
      </c>
      <c r="D66" s="13">
        <v>0.10973431109104527</v>
      </c>
      <c r="F66">
        <f t="shared" si="3"/>
        <v>16.045435995800183</v>
      </c>
      <c r="G66" s="6">
        <f t="shared" si="4"/>
        <v>8.9829708986265661E-2</v>
      </c>
      <c r="H66">
        <f t="shared" si="5"/>
        <v>5.1538104527447093</v>
      </c>
    </row>
    <row r="67" spans="2:8">
      <c r="B67">
        <v>8</v>
      </c>
      <c r="C67">
        <v>0.43982640000000006</v>
      </c>
      <c r="D67" s="13">
        <v>0.13917310096006544</v>
      </c>
      <c r="F67">
        <f t="shared" si="3"/>
        <v>20.790107716081657</v>
      </c>
      <c r="G67" s="6">
        <f t="shared" si="4"/>
        <v>0.12384942272519342</v>
      </c>
      <c r="H67">
        <f t="shared" si="5"/>
        <v>7.1143162576413497</v>
      </c>
    </row>
    <row r="68" spans="2:8">
      <c r="B68">
        <v>10.1</v>
      </c>
      <c r="C68">
        <v>0.62697360000000002</v>
      </c>
      <c r="D68" s="13">
        <v>0.17536672609198711</v>
      </c>
      <c r="F68">
        <f t="shared" si="3"/>
        <v>26.884727875606394</v>
      </c>
      <c r="G68" s="6">
        <f t="shared" si="4"/>
        <v>0.16225960704972892</v>
      </c>
      <c r="H68">
        <f t="shared" si="5"/>
        <v>9.3380763000431148</v>
      </c>
    </row>
    <row r="69" spans="2:8">
      <c r="B69">
        <v>12.3</v>
      </c>
      <c r="C69">
        <v>0.86014560000000007</v>
      </c>
      <c r="D69" s="13">
        <v>0.21303038627497659</v>
      </c>
      <c r="F69">
        <f t="shared" si="3"/>
        <v>34.478187846349755</v>
      </c>
      <c r="G69" s="6">
        <f t="shared" si="4"/>
        <v>0.20443649427125327</v>
      </c>
      <c r="H69">
        <f t="shared" si="5"/>
        <v>11.796513955021723</v>
      </c>
    </row>
    <row r="70" spans="2:8">
      <c r="B70">
        <v>14.9</v>
      </c>
      <c r="C70">
        <v>1.1469624</v>
      </c>
      <c r="D70" s="13">
        <v>0.25713279315469623</v>
      </c>
      <c r="F70">
        <f t="shared" si="3"/>
        <v>43.818639914937343</v>
      </c>
      <c r="G70" s="6">
        <f t="shared" si="4"/>
        <v>0.25035885794239299</v>
      </c>
      <c r="H70">
        <f t="shared" si="5"/>
        <v>14.498748559102818</v>
      </c>
    </row>
    <row r="71" spans="2:8">
      <c r="B71">
        <v>17.8</v>
      </c>
      <c r="C71">
        <v>1.4962632000000002</v>
      </c>
      <c r="D71" s="13">
        <v>0.30569530496310565</v>
      </c>
      <c r="F71">
        <f t="shared" si="3"/>
        <v>55.193940733854852</v>
      </c>
      <c r="G71" s="6">
        <f t="shared" si="4"/>
        <v>0.30008554190645825</v>
      </c>
      <c r="H71">
        <f t="shared" si="5"/>
        <v>17.462741039556896</v>
      </c>
    </row>
    <row r="72" spans="2:8">
      <c r="B72">
        <v>21</v>
      </c>
      <c r="C72">
        <v>1.9245072000000001</v>
      </c>
      <c r="D72" s="13">
        <v>0.35836794954530027</v>
      </c>
      <c r="F72">
        <f t="shared" si="3"/>
        <v>69.140099242213566</v>
      </c>
      <c r="G72" s="6">
        <f t="shared" si="4"/>
        <v>0.35448536801774477</v>
      </c>
      <c r="H72">
        <f t="shared" si="5"/>
        <v>20.761907078561585</v>
      </c>
    </row>
    <row r="73" spans="2:8">
      <c r="B73">
        <v>24.8</v>
      </c>
      <c r="C73">
        <v>2.4588216000000003</v>
      </c>
      <c r="D73" s="13">
        <v>0.4194520824461771</v>
      </c>
      <c r="F73">
        <f t="shared" si="3"/>
        <v>86.540537580400638</v>
      </c>
      <c r="G73" s="6">
        <f t="shared" si="4"/>
        <v>0.41514167387525547</v>
      </c>
      <c r="H73">
        <f t="shared" si="5"/>
        <v>24.528238677725131</v>
      </c>
    </row>
    <row r="74" spans="2:8">
      <c r="B74">
        <v>29.4</v>
      </c>
      <c r="C74">
        <v>3.1629095999999999</v>
      </c>
      <c r="D74" s="13">
        <v>0.49090375361514077</v>
      </c>
      <c r="F74">
        <f t="shared" si="3"/>
        <v>109.46980886460607</v>
      </c>
      <c r="G74" s="6">
        <f t="shared" si="4"/>
        <v>0.4863858158645179</v>
      </c>
      <c r="H74">
        <f t="shared" si="5"/>
        <v>29.103307251312771</v>
      </c>
    </row>
    <row r="75" spans="2:8">
      <c r="B75">
        <v>35.9</v>
      </c>
      <c r="C75">
        <v>4.2129456000000003</v>
      </c>
      <c r="D75" s="13">
        <v>0.58637235673578925</v>
      </c>
      <c r="F75">
        <f t="shared" si="3"/>
        <v>143.6651939616138</v>
      </c>
      <c r="G75" s="6">
        <f t="shared" si="4"/>
        <v>0.57993512726980212</v>
      </c>
      <c r="H75">
        <f t="shared" si="5"/>
        <v>35.445979966557921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6" sqref="F16"/>
    </sheetView>
  </sheetViews>
  <sheetFormatPr defaultRowHeight="1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3:P57"/>
  <sheetViews>
    <sheetView topLeftCell="A37" workbookViewId="0">
      <selection activeCell="H25" sqref="H25"/>
    </sheetView>
  </sheetViews>
  <sheetFormatPr defaultRowHeight="15"/>
  <cols>
    <col min="3" max="3" width="12.140625" customWidth="1"/>
    <col min="12" max="12" width="10" customWidth="1"/>
  </cols>
  <sheetData>
    <row r="3" spans="3:6">
      <c r="C3" t="s">
        <v>72</v>
      </c>
      <c r="D3" t="s">
        <v>73</v>
      </c>
    </row>
    <row r="4" spans="3:6">
      <c r="C4" s="4">
        <v>15.727679999999999</v>
      </c>
      <c r="D4" s="31">
        <v>76.2</v>
      </c>
      <c r="F4">
        <f>SQRT(D4)</f>
        <v>8.7292611371180779</v>
      </c>
    </row>
    <row r="5" spans="3:6">
      <c r="C5" s="4">
        <v>15.5448</v>
      </c>
      <c r="D5" s="31">
        <v>77.400000000000006</v>
      </c>
      <c r="F5">
        <f t="shared" ref="F5:F24" si="0">SQRT(D5)</f>
        <v>8.7977269791691093</v>
      </c>
    </row>
    <row r="6" spans="3:6">
      <c r="C6" s="4">
        <v>15.36192</v>
      </c>
      <c r="D6" s="31">
        <v>78.400000000000006</v>
      </c>
      <c r="F6">
        <f t="shared" si="0"/>
        <v>8.8543774484714621</v>
      </c>
    </row>
    <row r="7" spans="3:6">
      <c r="C7" s="4">
        <v>15.179040000000001</v>
      </c>
      <c r="D7" s="31">
        <v>79.2</v>
      </c>
      <c r="F7">
        <f t="shared" si="0"/>
        <v>8.8994381845147963</v>
      </c>
    </row>
    <row r="8" spans="3:6">
      <c r="C8" s="4">
        <v>14.996159999999998</v>
      </c>
      <c r="D8" s="31">
        <v>80.099999999999994</v>
      </c>
      <c r="F8">
        <f t="shared" si="0"/>
        <v>8.9498603341057787</v>
      </c>
    </row>
    <row r="9" spans="3:6">
      <c r="C9" s="4">
        <v>14.813279999999999</v>
      </c>
      <c r="D9" s="31">
        <v>80.7</v>
      </c>
      <c r="F9">
        <f t="shared" si="0"/>
        <v>8.9833178725902822</v>
      </c>
    </row>
    <row r="10" spans="3:6">
      <c r="C10" s="4">
        <v>14.6304</v>
      </c>
      <c r="D10" s="31">
        <v>81.400000000000006</v>
      </c>
      <c r="F10">
        <f t="shared" si="0"/>
        <v>9.0221948549119695</v>
      </c>
    </row>
    <row r="11" spans="3:6">
      <c r="C11" s="4">
        <v>14.447520000000001</v>
      </c>
      <c r="D11" s="31">
        <v>82</v>
      </c>
      <c r="F11">
        <f t="shared" si="0"/>
        <v>9.0553851381374173</v>
      </c>
    </row>
    <row r="12" spans="3:6">
      <c r="C12" s="4">
        <v>14.26464</v>
      </c>
      <c r="D12" s="31">
        <v>82.6</v>
      </c>
      <c r="F12">
        <f t="shared" si="0"/>
        <v>9.0884542140014108</v>
      </c>
    </row>
    <row r="13" spans="3:6">
      <c r="C13" s="4">
        <v>14.081760000000001</v>
      </c>
      <c r="D13" s="31">
        <v>83.1</v>
      </c>
      <c r="F13">
        <f t="shared" si="0"/>
        <v>9.1159201400626575</v>
      </c>
    </row>
    <row r="14" spans="3:6">
      <c r="C14" s="4">
        <v>13.89888</v>
      </c>
      <c r="D14" s="31">
        <v>83.7</v>
      </c>
      <c r="F14">
        <f t="shared" si="0"/>
        <v>9.1487704091861435</v>
      </c>
    </row>
    <row r="15" spans="3:6">
      <c r="C15" s="4">
        <v>13.716000000000001</v>
      </c>
      <c r="D15" s="31">
        <v>84.2</v>
      </c>
      <c r="F15">
        <f t="shared" si="0"/>
        <v>9.1760557975635706</v>
      </c>
    </row>
    <row r="16" spans="3:6">
      <c r="C16" s="4">
        <v>13.53312</v>
      </c>
      <c r="D16" s="31">
        <v>84.6</v>
      </c>
      <c r="F16">
        <f t="shared" si="0"/>
        <v>9.1978258300535352</v>
      </c>
    </row>
    <row r="17" spans="2:16">
      <c r="C17" s="4">
        <v>13.350239999999999</v>
      </c>
      <c r="D17" s="31">
        <v>85.1</v>
      </c>
      <c r="F17">
        <f t="shared" si="0"/>
        <v>9.2249661245990495</v>
      </c>
    </row>
    <row r="18" spans="2:16">
      <c r="C18" s="4">
        <v>13.16736</v>
      </c>
      <c r="D18" s="31">
        <v>85.5</v>
      </c>
      <c r="F18">
        <f t="shared" si="0"/>
        <v>9.2466210044534645</v>
      </c>
    </row>
    <row r="19" spans="2:16">
      <c r="C19" s="4">
        <v>12.98448</v>
      </c>
      <c r="D19" s="31">
        <v>85.9</v>
      </c>
      <c r="F19">
        <f t="shared" si="0"/>
        <v>9.2682252885868071</v>
      </c>
    </row>
    <row r="20" spans="2:16">
      <c r="C20" s="4">
        <v>12.801600000000001</v>
      </c>
      <c r="D20" s="31">
        <v>86.3</v>
      </c>
      <c r="F20">
        <f t="shared" si="0"/>
        <v>9.2897793299948734</v>
      </c>
    </row>
    <row r="21" spans="2:16">
      <c r="C21" s="4">
        <v>12.618720000000001</v>
      </c>
      <c r="D21" s="31">
        <v>86.7</v>
      </c>
      <c r="F21">
        <f t="shared" si="0"/>
        <v>9.3112834775878248</v>
      </c>
    </row>
    <row r="22" spans="2:16">
      <c r="C22" s="4">
        <v>12.435840000000001</v>
      </c>
      <c r="D22" s="31">
        <v>87.1</v>
      </c>
      <c r="F22">
        <f t="shared" si="0"/>
        <v>9.3327380762560779</v>
      </c>
    </row>
    <row r="23" spans="2:16">
      <c r="C23" s="4">
        <v>12.25296</v>
      </c>
      <c r="D23" s="31">
        <v>87.4</v>
      </c>
      <c r="F23">
        <f t="shared" si="0"/>
        <v>9.3487967140161956</v>
      </c>
    </row>
    <row r="24" spans="2:16">
      <c r="C24" s="4">
        <v>12.070080000000001</v>
      </c>
      <c r="D24" s="31">
        <v>87.7</v>
      </c>
      <c r="F24">
        <f t="shared" si="0"/>
        <v>9.3648278147545252</v>
      </c>
    </row>
    <row r="26" spans="2:16">
      <c r="I26" t="s">
        <v>60</v>
      </c>
    </row>
    <row r="27" spans="2:16">
      <c r="B27">
        <v>1</v>
      </c>
      <c r="F27">
        <f xml:space="preserve"> -0.028601502*B27*B27 + 0.630486822*B27 + 5.911782749</f>
        <v>6.5136680690000004</v>
      </c>
      <c r="G27">
        <f>F27*F27</f>
        <v>42.427871713110193</v>
      </c>
      <c r="I27" t="s">
        <v>61</v>
      </c>
    </row>
    <row r="28" spans="2:16">
      <c r="B28">
        <v>1.5</v>
      </c>
      <c r="F28">
        <f t="shared" ref="F28:F57" si="1" xml:space="preserve"> -0.028601502*B28*B28 + 0.630486822*B28 + 5.911782749</f>
        <v>6.7931596025000003</v>
      </c>
      <c r="G28">
        <f t="shared" ref="G28:G57" si="2">F28*F28</f>
        <v>46.147017385037962</v>
      </c>
      <c r="I28" t="s">
        <v>63</v>
      </c>
    </row>
    <row r="29" spans="2:16">
      <c r="B29">
        <v>2</v>
      </c>
      <c r="F29">
        <f t="shared" si="1"/>
        <v>7.0583503850000007</v>
      </c>
      <c r="G29">
        <f t="shared" si="2"/>
        <v>49.82031015742966</v>
      </c>
      <c r="I29" t="s">
        <v>64</v>
      </c>
    </row>
    <row r="30" spans="2:16">
      <c r="B30">
        <v>2.5</v>
      </c>
      <c r="F30">
        <f t="shared" si="1"/>
        <v>7.3092404164999998</v>
      </c>
      <c r="G30">
        <f t="shared" si="2"/>
        <v>53.424995466197089</v>
      </c>
    </row>
    <row r="31" spans="2:16">
      <c r="B31">
        <v>3</v>
      </c>
      <c r="F31">
        <f t="shared" si="1"/>
        <v>7.5458296970000003</v>
      </c>
      <c r="G31">
        <f t="shared" si="2"/>
        <v>56.939545816127115</v>
      </c>
      <c r="I31" t="s">
        <v>65</v>
      </c>
      <c r="J31" t="s">
        <v>66</v>
      </c>
      <c r="K31" t="s">
        <v>59</v>
      </c>
      <c r="L31" t="s">
        <v>68</v>
      </c>
      <c r="M31" t="s">
        <v>69</v>
      </c>
      <c r="N31" t="s">
        <v>70</v>
      </c>
      <c r="O31" t="s">
        <v>67</v>
      </c>
      <c r="P31" t="s">
        <v>71</v>
      </c>
    </row>
    <row r="32" spans="2:16">
      <c r="B32">
        <v>3.5</v>
      </c>
      <c r="F32">
        <f t="shared" si="1"/>
        <v>7.7681182265000004</v>
      </c>
      <c r="G32">
        <f t="shared" si="2"/>
        <v>60.343660780881514</v>
      </c>
      <c r="I32">
        <v>24.55</v>
      </c>
      <c r="J32">
        <v>87.54</v>
      </c>
      <c r="K32">
        <v>10</v>
      </c>
      <c r="L32">
        <v>15.597</v>
      </c>
      <c r="M32">
        <v>7.5</v>
      </c>
      <c r="N32">
        <v>7.7140000000000004</v>
      </c>
      <c r="O32" s="32">
        <v>34.049999999999997</v>
      </c>
      <c r="P32" s="32">
        <v>54.9</v>
      </c>
    </row>
    <row r="33" spans="2:11">
      <c r="B33">
        <v>4</v>
      </c>
      <c r="F33">
        <f t="shared" si="1"/>
        <v>7.9761060050000001</v>
      </c>
      <c r="G33">
        <f t="shared" si="2"/>
        <v>63.618267002997065</v>
      </c>
    </row>
    <row r="34" spans="2:11">
      <c r="B34">
        <v>4.5</v>
      </c>
      <c r="F34">
        <f t="shared" si="1"/>
        <v>8.1697930324999994</v>
      </c>
      <c r="G34">
        <f t="shared" si="2"/>
        <v>66.74551819388553</v>
      </c>
      <c r="K34">
        <f>(K32/L32) *J32-I32</f>
        <v>31.576178111175228</v>
      </c>
    </row>
    <row r="35" spans="2:11">
      <c r="B35">
        <v>5</v>
      </c>
      <c r="F35">
        <f t="shared" si="1"/>
        <v>8.3491793090000002</v>
      </c>
      <c r="G35">
        <f t="shared" si="2"/>
        <v>69.708795133833718</v>
      </c>
    </row>
    <row r="36" spans="2:11">
      <c r="B36">
        <v>5.5</v>
      </c>
      <c r="F36">
        <f t="shared" si="1"/>
        <v>8.5142648345000005</v>
      </c>
      <c r="G36">
        <f t="shared" si="2"/>
        <v>72.492705672003325</v>
      </c>
    </row>
    <row r="37" spans="2:11">
      <c r="B37">
        <v>6</v>
      </c>
      <c r="F37">
        <f t="shared" si="1"/>
        <v>8.6650496090000004</v>
      </c>
      <c r="G37">
        <f t="shared" si="2"/>
        <v>75.083084726431053</v>
      </c>
    </row>
    <row r="38" spans="2:11">
      <c r="B38">
        <v>6.5</v>
      </c>
      <c r="F38">
        <f t="shared" si="1"/>
        <v>8.8015336325</v>
      </c>
      <c r="G38">
        <f t="shared" si="2"/>
        <v>77.466994284028644</v>
      </c>
    </row>
    <row r="39" spans="2:11">
      <c r="B39">
        <v>7</v>
      </c>
      <c r="F39">
        <f t="shared" si="1"/>
        <v>8.9237169049999991</v>
      </c>
      <c r="G39">
        <f t="shared" si="2"/>
        <v>79.632723400582762</v>
      </c>
    </row>
    <row r="40" spans="2:11">
      <c r="B40">
        <v>7.5</v>
      </c>
      <c r="F40">
        <f t="shared" si="1"/>
        <v>9.0315994264999997</v>
      </c>
      <c r="G40">
        <f t="shared" si="2"/>
        <v>81.569788200755127</v>
      </c>
    </row>
    <row r="41" spans="2:11">
      <c r="B41">
        <v>8</v>
      </c>
      <c r="F41">
        <f t="shared" si="1"/>
        <v>9.1251811969999999</v>
      </c>
      <c r="G41">
        <f t="shared" si="2"/>
        <v>83.268931878082356</v>
      </c>
    </row>
    <row r="42" spans="2:11">
      <c r="B42">
        <v>8.5</v>
      </c>
      <c r="F42">
        <f t="shared" si="1"/>
        <v>9.2044622164999996</v>
      </c>
      <c r="G42">
        <f t="shared" si="2"/>
        <v>84.722124694976088</v>
      </c>
    </row>
    <row r="43" spans="2:11">
      <c r="B43">
        <v>9</v>
      </c>
      <c r="F43">
        <f t="shared" si="1"/>
        <v>9.269442484999999</v>
      </c>
      <c r="G43">
        <f t="shared" si="2"/>
        <v>85.922563982722963</v>
      </c>
    </row>
    <row r="44" spans="2:11">
      <c r="B44">
        <v>9.5</v>
      </c>
      <c r="F44">
        <f t="shared" si="1"/>
        <v>9.3201220024999998</v>
      </c>
      <c r="G44">
        <f t="shared" si="2"/>
        <v>86.864674141484599</v>
      </c>
    </row>
    <row r="45" spans="2:11">
      <c r="B45">
        <v>10</v>
      </c>
      <c r="F45">
        <f t="shared" si="1"/>
        <v>9.3565007690000002</v>
      </c>
      <c r="G45">
        <f t="shared" si="2"/>
        <v>87.544106640297599</v>
      </c>
    </row>
    <row r="46" spans="2:11">
      <c r="B46">
        <v>10.5</v>
      </c>
      <c r="F46">
        <f t="shared" si="1"/>
        <v>9.3785787845000002</v>
      </c>
      <c r="G46">
        <f t="shared" si="2"/>
        <v>87.957740017073505</v>
      </c>
    </row>
    <row r="47" spans="2:11">
      <c r="B47">
        <v>11</v>
      </c>
      <c r="F47">
        <f t="shared" si="1"/>
        <v>9.3863560489999998</v>
      </c>
      <c r="G47">
        <f t="shared" si="2"/>
        <v>88.103679878598882</v>
      </c>
    </row>
    <row r="48" spans="2:11">
      <c r="B48">
        <v>11.5</v>
      </c>
      <c r="F48">
        <f t="shared" si="1"/>
        <v>9.379832562499999</v>
      </c>
      <c r="G48">
        <f t="shared" si="2"/>
        <v>87.981258900535295</v>
      </c>
    </row>
    <row r="49" spans="2:7">
      <c r="B49">
        <v>12</v>
      </c>
      <c r="F49">
        <f t="shared" si="1"/>
        <v>9.3590083249999996</v>
      </c>
      <c r="G49">
        <f t="shared" si="2"/>
        <v>87.591036827419302</v>
      </c>
    </row>
    <row r="50" spans="2:7">
      <c r="B50">
        <v>12.5</v>
      </c>
      <c r="F50">
        <f t="shared" si="1"/>
        <v>9.3238833364999998</v>
      </c>
      <c r="G50">
        <f t="shared" si="2"/>
        <v>86.934800472662374</v>
      </c>
    </row>
    <row r="51" spans="2:7">
      <c r="B51">
        <v>13</v>
      </c>
      <c r="F51">
        <f t="shared" si="1"/>
        <v>9.2744575969999996</v>
      </c>
      <c r="G51">
        <f t="shared" si="2"/>
        <v>86.015563718551007</v>
      </c>
    </row>
    <row r="52" spans="2:7">
      <c r="B52">
        <v>13.5</v>
      </c>
      <c r="F52">
        <f t="shared" si="1"/>
        <v>9.210731106499999</v>
      </c>
      <c r="G52">
        <f t="shared" si="2"/>
        <v>84.837567516246693</v>
      </c>
    </row>
    <row r="53" spans="2:7">
      <c r="B53">
        <v>14</v>
      </c>
      <c r="F53">
        <f t="shared" si="1"/>
        <v>9.1327038649999999</v>
      </c>
      <c r="G53">
        <f t="shared" si="2"/>
        <v>83.406279885785935</v>
      </c>
    </row>
    <row r="54" spans="2:7">
      <c r="B54">
        <v>14.5</v>
      </c>
      <c r="F54">
        <f t="shared" si="1"/>
        <v>9.0403758725000003</v>
      </c>
      <c r="G54">
        <f t="shared" si="2"/>
        <v>81.728395916080146</v>
      </c>
    </row>
    <row r="55" spans="2:7">
      <c r="B55">
        <v>15</v>
      </c>
      <c r="F55">
        <f t="shared" si="1"/>
        <v>8.9337471290000003</v>
      </c>
      <c r="G55">
        <f t="shared" si="2"/>
        <v>79.811837764915751</v>
      </c>
    </row>
    <row r="56" spans="2:7">
      <c r="B56">
        <v>15.5</v>
      </c>
      <c r="F56">
        <f t="shared" si="1"/>
        <v>8.8128176344999982</v>
      </c>
      <c r="G56">
        <f t="shared" si="2"/>
        <v>77.665754658954143</v>
      </c>
    </row>
    <row r="57" spans="2:7">
      <c r="B57">
        <v>16</v>
      </c>
      <c r="F57">
        <f t="shared" si="1"/>
        <v>8.6775873889999993</v>
      </c>
      <c r="G57">
        <f t="shared" si="2"/>
        <v>75.300522893731824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C3:K21"/>
  <sheetViews>
    <sheetView tabSelected="1" workbookViewId="0">
      <selection activeCell="O14" sqref="O14"/>
    </sheetView>
  </sheetViews>
  <sheetFormatPr defaultRowHeight="15"/>
  <sheetData>
    <row r="3" spans="3:11">
      <c r="C3" t="s">
        <v>74</v>
      </c>
      <c r="G3">
        <v>0</v>
      </c>
      <c r="H3">
        <v>36.9</v>
      </c>
      <c r="I3">
        <v>-15127.1</v>
      </c>
      <c r="J3">
        <v>22627.1</v>
      </c>
      <c r="K3">
        <v>3</v>
      </c>
    </row>
    <row r="4" spans="3:11">
      <c r="C4" t="s">
        <v>75</v>
      </c>
      <c r="G4">
        <v>1</v>
      </c>
      <c r="H4">
        <v>39.9</v>
      </c>
      <c r="I4">
        <v>-13870.2</v>
      </c>
      <c r="J4">
        <v>21370.2</v>
      </c>
      <c r="K4">
        <v>3</v>
      </c>
    </row>
    <row r="5" spans="3:11">
      <c r="C5" t="s">
        <v>76</v>
      </c>
      <c r="G5">
        <v>2</v>
      </c>
      <c r="H5">
        <v>42.9</v>
      </c>
      <c r="I5">
        <v>-12412.7</v>
      </c>
      <c r="J5">
        <v>19912.7</v>
      </c>
      <c r="K5">
        <v>3</v>
      </c>
    </row>
    <row r="6" spans="3:11">
      <c r="C6" t="s">
        <v>77</v>
      </c>
      <c r="G6">
        <v>3</v>
      </c>
      <c r="H6">
        <v>45.9</v>
      </c>
      <c r="I6">
        <v>-10878.4</v>
      </c>
      <c r="J6">
        <v>18378.400000000001</v>
      </c>
      <c r="K6">
        <v>3</v>
      </c>
    </row>
    <row r="7" spans="3:11">
      <c r="C7" t="s">
        <v>78</v>
      </c>
      <c r="G7">
        <v>4</v>
      </c>
      <c r="H7">
        <v>48.9</v>
      </c>
      <c r="I7">
        <v>-9341.1</v>
      </c>
      <c r="J7">
        <v>16841.099999999999</v>
      </c>
      <c r="K7">
        <v>3</v>
      </c>
    </row>
    <row r="8" spans="3:11">
      <c r="C8" t="s">
        <v>79</v>
      </c>
      <c r="G8">
        <v>5</v>
      </c>
      <c r="H8">
        <v>51.9</v>
      </c>
      <c r="I8">
        <v>-7845.4</v>
      </c>
      <c r="J8">
        <v>15345.4</v>
      </c>
      <c r="K8">
        <v>3</v>
      </c>
    </row>
    <row r="9" spans="3:11">
      <c r="C9" t="s">
        <v>80</v>
      </c>
      <c r="G9">
        <v>6</v>
      </c>
      <c r="H9">
        <v>54.9</v>
      </c>
      <c r="I9">
        <v>-6418.2</v>
      </c>
      <c r="J9">
        <v>13918.2</v>
      </c>
      <c r="K9">
        <v>3</v>
      </c>
    </row>
    <row r="10" spans="3:11">
      <c r="C10" t="s">
        <v>81</v>
      </c>
      <c r="G10">
        <v>7</v>
      </c>
      <c r="H10">
        <v>57.9</v>
      </c>
      <c r="I10">
        <v>-5075.7</v>
      </c>
      <c r="J10">
        <v>12575.7</v>
      </c>
      <c r="K10">
        <v>3</v>
      </c>
    </row>
    <row r="11" spans="3:11">
      <c r="C11" t="s">
        <v>82</v>
      </c>
      <c r="G11">
        <v>8</v>
      </c>
      <c r="H11">
        <v>60.9</v>
      </c>
      <c r="I11">
        <v>-3827.6</v>
      </c>
      <c r="J11">
        <v>11327.6</v>
      </c>
      <c r="K11">
        <v>3</v>
      </c>
    </row>
    <row r="12" spans="3:11">
      <c r="C12" t="s">
        <v>83</v>
      </c>
      <c r="G12">
        <v>9</v>
      </c>
      <c r="H12">
        <v>63.9</v>
      </c>
      <c r="I12">
        <v>-2679</v>
      </c>
      <c r="J12">
        <v>10179</v>
      </c>
      <c r="K12">
        <v>3</v>
      </c>
    </row>
    <row r="13" spans="3:11">
      <c r="C13" t="s">
        <v>84</v>
      </c>
      <c r="G13">
        <v>10</v>
      </c>
      <c r="H13">
        <v>66.900000000000006</v>
      </c>
      <c r="I13">
        <v>-1632.8</v>
      </c>
      <c r="J13">
        <v>9132.7999999999993</v>
      </c>
      <c r="K13">
        <v>3</v>
      </c>
    </row>
    <row r="14" spans="3:11">
      <c r="C14" t="s">
        <v>85</v>
      </c>
      <c r="G14">
        <v>11</v>
      </c>
      <c r="H14">
        <v>69.900000000000006</v>
      </c>
      <c r="I14">
        <v>-689.9</v>
      </c>
      <c r="J14">
        <v>8189.9</v>
      </c>
      <c r="K14">
        <v>3</v>
      </c>
    </row>
    <row r="15" spans="3:11">
      <c r="C15" t="s">
        <v>86</v>
      </c>
      <c r="G15">
        <v>12</v>
      </c>
      <c r="H15">
        <v>72.900000000000006</v>
      </c>
      <c r="I15">
        <v>149.69999999999999</v>
      </c>
      <c r="J15">
        <v>7350.3</v>
      </c>
      <c r="K15">
        <v>3</v>
      </c>
    </row>
    <row r="16" spans="3:11">
      <c r="C16" t="s">
        <v>87</v>
      </c>
      <c r="G16">
        <v>13</v>
      </c>
      <c r="H16">
        <v>75.900000000000006</v>
      </c>
      <c r="I16">
        <v>886.8</v>
      </c>
      <c r="J16">
        <v>6613.2</v>
      </c>
      <c r="K16">
        <v>3</v>
      </c>
    </row>
    <row r="17" spans="3:11">
      <c r="C17" t="s">
        <v>88</v>
      </c>
      <c r="G17">
        <v>14</v>
      </c>
      <c r="H17">
        <v>78.900000000000006</v>
      </c>
      <c r="I17">
        <v>1522.6</v>
      </c>
      <c r="J17">
        <v>5977.4</v>
      </c>
      <c r="K17">
        <v>3</v>
      </c>
    </row>
    <row r="18" spans="3:11">
      <c r="C18" t="s">
        <v>89</v>
      </c>
      <c r="G18">
        <v>15</v>
      </c>
      <c r="H18">
        <v>81.8</v>
      </c>
      <c r="I18">
        <v>2058.6999999999998</v>
      </c>
      <c r="J18">
        <v>5441.3</v>
      </c>
      <c r="K18">
        <v>3</v>
      </c>
    </row>
    <row r="19" spans="3:11">
      <c r="C19" t="s">
        <v>90</v>
      </c>
      <c r="G19">
        <v>16</v>
      </c>
      <c r="H19">
        <v>84.8</v>
      </c>
      <c r="I19">
        <v>2497.1999999999998</v>
      </c>
      <c r="J19">
        <v>5002.8</v>
      </c>
      <c r="K19">
        <v>3</v>
      </c>
    </row>
    <row r="20" spans="3:11">
      <c r="C20" t="s">
        <v>91</v>
      </c>
      <c r="G20">
        <v>17</v>
      </c>
      <c r="H20">
        <v>87.8</v>
      </c>
      <c r="I20">
        <v>2841</v>
      </c>
      <c r="J20">
        <v>4659</v>
      </c>
      <c r="K20">
        <v>2.9</v>
      </c>
    </row>
    <row r="21" spans="3:11">
      <c r="C21" t="s">
        <v>92</v>
      </c>
    </row>
  </sheetData>
  <sortState ref="G3:K20">
    <sortCondition ref="G3:G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(h) e to R</vt:lpstr>
      <vt:lpstr>(h) e to H</vt:lpstr>
      <vt:lpstr>(h) e to T</vt:lpstr>
      <vt:lpstr>high data</vt:lpstr>
      <vt:lpstr>ellips</vt:lpstr>
      <vt:lpstr>low range to time</vt:lpstr>
      <vt:lpstr>low low</vt:lpstr>
      <vt:lpstr>high flow</vt:lpstr>
      <vt:lpstr>(h) r To 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2012-05-05T06:12:24Z</dcterms:created>
  <dcterms:modified xsi:type="dcterms:W3CDTF">2012-05-21T12:06:26Z</dcterms:modified>
</cp:coreProperties>
</file>
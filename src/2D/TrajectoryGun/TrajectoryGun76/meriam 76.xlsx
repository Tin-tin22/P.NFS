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sheets/sheet1.xml" ContentType="application/vnd.openxmlformats-officedocument.spreadsheetml.worksheet+xml"/>
  <Default Extension="gif" ContentType="image/gif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8330" windowHeight="10995" tabRatio="564" activeTab="7"/>
  </bookViews>
  <sheets>
    <sheet name="Sheet1" sheetId="1" r:id="rId1"/>
    <sheet name="Sheet2" sheetId="2" r:id="rId2"/>
    <sheet name="LOW" sheetId="5" r:id="rId3"/>
    <sheet name="HIGHT" sheetId="6" r:id="rId4"/>
    <sheet name="convert" sheetId="8" r:id="rId5"/>
    <sheet name="LOW meter" sheetId="9" r:id="rId6"/>
    <sheet name="gerak (low)" sheetId="10" r:id="rId7"/>
    <sheet name="gerak (high)" sheetId="11" r:id="rId8"/>
    <sheet name="gabung" sheetId="12" r:id="rId9"/>
    <sheet name="flow" sheetId="14" r:id="rId10"/>
  </sheets>
  <calcPr calcId="124519"/>
</workbook>
</file>

<file path=xl/calcChain.xml><?xml version="1.0" encoding="utf-8"?>
<calcChain xmlns="http://schemas.openxmlformats.org/spreadsheetml/2006/main">
  <c r="D50" i="10"/>
  <c r="D51"/>
  <c r="D52"/>
  <c r="D53"/>
  <c r="D54"/>
  <c r="D55"/>
  <c r="D56"/>
  <c r="D57"/>
  <c r="D58"/>
  <c r="D59"/>
  <c r="D60"/>
  <c r="D61"/>
  <c r="D62"/>
  <c r="D63"/>
  <c r="D64"/>
  <c r="D65"/>
  <c r="D49"/>
  <c r="E120"/>
  <c r="F120" s="1"/>
  <c r="D120"/>
  <c r="G97" i="11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98"/>
  <c r="G99"/>
  <c r="F12" i="12"/>
  <c r="F13"/>
  <c r="H13" s="1"/>
  <c r="H12"/>
  <c r="E5"/>
  <c r="F14"/>
  <c r="H14" s="1"/>
  <c r="F15"/>
  <c r="H15" s="1"/>
  <c r="F16"/>
  <c r="H16" s="1"/>
  <c r="F17"/>
  <c r="H17" s="1"/>
  <c r="F18"/>
  <c r="H18" s="1"/>
  <c r="F19"/>
  <c r="H19" s="1"/>
  <c r="F20"/>
  <c r="H20" s="1"/>
  <c r="F21"/>
  <c r="H21" s="1"/>
  <c r="F22"/>
  <c r="H22" s="1"/>
  <c r="F23"/>
  <c r="H23" s="1"/>
  <c r="F24"/>
  <c r="H24" s="1"/>
  <c r="F25"/>
  <c r="H25" s="1"/>
  <c r="F26"/>
  <c r="H26" s="1"/>
  <c r="F27"/>
  <c r="H27" s="1"/>
  <c r="F28"/>
  <c r="H28" s="1"/>
  <c r="F29"/>
  <c r="H29" s="1"/>
  <c r="F30"/>
  <c r="H30" s="1"/>
  <c r="F31"/>
  <c r="H31" s="1"/>
  <c r="F32"/>
  <c r="H32" s="1"/>
  <c r="F33"/>
  <c r="H33" s="1"/>
  <c r="F34"/>
  <c r="H34" s="1"/>
  <c r="F35"/>
  <c r="H35" s="1"/>
  <c r="F36"/>
  <c r="H36" s="1"/>
  <c r="F37"/>
  <c r="H37" s="1"/>
  <c r="F38"/>
  <c r="H38" s="1"/>
  <c r="F39"/>
  <c r="H39" s="1"/>
  <c r="F40"/>
  <c r="H40" s="1"/>
  <c r="F41"/>
  <c r="H41" s="1"/>
  <c r="F42"/>
  <c r="H42" s="1"/>
  <c r="F43"/>
  <c r="H43" s="1"/>
  <c r="F44"/>
  <c r="H44" s="1"/>
  <c r="F45"/>
  <c r="H45" s="1"/>
  <c r="F46"/>
  <c r="H46" s="1"/>
  <c r="F47"/>
  <c r="H47" s="1"/>
  <c r="F48"/>
  <c r="H48" s="1"/>
  <c r="F49"/>
  <c r="H49" s="1"/>
  <c r="F11"/>
  <c r="E13"/>
  <c r="E14"/>
  <c r="E15"/>
  <c r="E16"/>
  <c r="E17"/>
  <c r="E18"/>
  <c r="E19"/>
  <c r="E20"/>
  <c r="E21"/>
  <c r="E22"/>
  <c r="E23"/>
  <c r="E24"/>
  <c r="E25"/>
  <c r="E26"/>
  <c r="E27"/>
  <c r="E28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12"/>
  <c r="E11"/>
  <c r="C108" i="11"/>
  <c r="G108"/>
  <c r="C109"/>
  <c r="G109"/>
  <c r="C110"/>
  <c r="G110"/>
  <c r="C111"/>
  <c r="G111"/>
  <c r="C112"/>
  <c r="G112"/>
  <c r="C113"/>
  <c r="G113"/>
  <c r="C114"/>
  <c r="G114"/>
  <c r="C115"/>
  <c r="G115"/>
  <c r="C116"/>
  <c r="G116"/>
  <c r="C117"/>
  <c r="G117"/>
  <c r="C118"/>
  <c r="G118"/>
  <c r="C119"/>
  <c r="G119"/>
  <c r="C120"/>
  <c r="G120"/>
  <c r="C121"/>
  <c r="G121"/>
  <c r="C122"/>
  <c r="G122"/>
  <c r="C123"/>
  <c r="G123"/>
  <c r="C124"/>
  <c r="G124"/>
  <c r="C125"/>
  <c r="G125"/>
  <c r="C126"/>
  <c r="G126"/>
  <c r="C127"/>
  <c r="G127"/>
  <c r="C128"/>
  <c r="G12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B65" i="10"/>
  <c r="B64"/>
  <c r="B63"/>
  <c r="B62"/>
  <c r="B61"/>
  <c r="B60"/>
  <c r="B59"/>
  <c r="B58"/>
  <c r="B57"/>
  <c r="B56"/>
  <c r="B55"/>
  <c r="B54"/>
  <c r="B53"/>
  <c r="B52"/>
  <c r="B51"/>
  <c r="B50"/>
  <c r="B49"/>
  <c r="B43"/>
  <c r="B42"/>
  <c r="B41"/>
  <c r="B40"/>
  <c r="B39"/>
  <c r="B38"/>
  <c r="B37"/>
  <c r="B36"/>
  <c r="B35"/>
  <c r="B34"/>
  <c r="B33"/>
  <c r="B32"/>
  <c r="B31"/>
  <c r="B30"/>
  <c r="B29"/>
  <c r="B28"/>
  <c r="B27"/>
  <c r="B7"/>
  <c r="D7" s="1"/>
  <c r="E7" s="1"/>
  <c r="B8"/>
  <c r="D8" s="1"/>
  <c r="E8" s="1"/>
  <c r="B9"/>
  <c r="D9" s="1"/>
  <c r="E9" s="1"/>
  <c r="B10"/>
  <c r="D10" s="1"/>
  <c r="E10" s="1"/>
  <c r="B11"/>
  <c r="D11" s="1"/>
  <c r="E11" s="1"/>
  <c r="B12"/>
  <c r="D12" s="1"/>
  <c r="E12" s="1"/>
  <c r="B13"/>
  <c r="D13" s="1"/>
  <c r="E13" s="1"/>
  <c r="B14"/>
  <c r="D14" s="1"/>
  <c r="E14" s="1"/>
  <c r="B15"/>
  <c r="D15" s="1"/>
  <c r="E15" s="1"/>
  <c r="B16"/>
  <c r="D16" s="1"/>
  <c r="E16" s="1"/>
  <c r="B17"/>
  <c r="D17" s="1"/>
  <c r="E17" s="1"/>
  <c r="B18"/>
  <c r="D18" s="1"/>
  <c r="E18" s="1"/>
  <c r="B19"/>
  <c r="D19" s="1"/>
  <c r="E19" s="1"/>
  <c r="B20"/>
  <c r="D20" s="1"/>
  <c r="E20" s="1"/>
  <c r="B21"/>
  <c r="D21" s="1"/>
  <c r="E21" s="1"/>
  <c r="B22"/>
  <c r="D22" s="1"/>
  <c r="E22" s="1"/>
  <c r="B6"/>
  <c r="D6" s="1"/>
  <c r="E6" s="1"/>
  <c r="B5"/>
  <c r="D5" s="1"/>
  <c r="E5" s="1"/>
  <c r="D24" i="11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E122" i="10"/>
  <c r="F122" s="1"/>
  <c r="E123"/>
  <c r="E124"/>
  <c r="E125"/>
  <c r="E126"/>
  <c r="E127"/>
  <c r="E128"/>
  <c r="E129"/>
  <c r="E130"/>
  <c r="E131"/>
  <c r="E132"/>
  <c r="E133"/>
  <c r="E134"/>
  <c r="E135"/>
  <c r="E136"/>
  <c r="E121"/>
  <c r="D122"/>
  <c r="D123"/>
  <c r="D124"/>
  <c r="D125"/>
  <c r="D126"/>
  <c r="D127"/>
  <c r="D128"/>
  <c r="D129"/>
  <c r="D130"/>
  <c r="D131"/>
  <c r="D132"/>
  <c r="D133"/>
  <c r="D134"/>
  <c r="D135"/>
  <c r="D136"/>
  <c r="D121"/>
  <c r="C40" i="9"/>
  <c r="E40" s="1"/>
  <c r="C39"/>
  <c r="E39" s="1"/>
  <c r="C38"/>
  <c r="E38" s="1"/>
  <c r="C37"/>
  <c r="E37" s="1"/>
  <c r="C36"/>
  <c r="E36" s="1"/>
  <c r="C35"/>
  <c r="E35" s="1"/>
  <c r="C34"/>
  <c r="E34" s="1"/>
  <c r="C33"/>
  <c r="E33" s="1"/>
  <c r="C32"/>
  <c r="E32" s="1"/>
  <c r="C31"/>
  <c r="E31" s="1"/>
  <c r="C30"/>
  <c r="E30" s="1"/>
  <c r="C29"/>
  <c r="E29" s="1"/>
  <c r="C28"/>
  <c r="E28" s="1"/>
  <c r="C27"/>
  <c r="E27" s="1"/>
  <c r="C26"/>
  <c r="E26" s="1"/>
  <c r="C25"/>
  <c r="E25" s="1"/>
  <c r="C24"/>
  <c r="E24" s="1"/>
  <c r="E66"/>
  <c r="E67"/>
  <c r="E68"/>
  <c r="E69"/>
  <c r="E70"/>
  <c r="E71"/>
  <c r="E72"/>
  <c r="E73"/>
  <c r="E74"/>
  <c r="E75"/>
  <c r="E76"/>
  <c r="E77"/>
  <c r="E78"/>
  <c r="E79"/>
  <c r="E80"/>
  <c r="E81"/>
  <c r="E82"/>
  <c r="C67"/>
  <c r="C68"/>
  <c r="C69"/>
  <c r="C70"/>
  <c r="C71"/>
  <c r="C72"/>
  <c r="C73"/>
  <c r="C74"/>
  <c r="C75"/>
  <c r="C76"/>
  <c r="C77"/>
  <c r="C78"/>
  <c r="C79"/>
  <c r="C80"/>
  <c r="C81"/>
  <c r="C82"/>
  <c r="C66"/>
  <c r="C45"/>
  <c r="C46"/>
  <c r="C47"/>
  <c r="C48"/>
  <c r="C49"/>
  <c r="C50"/>
  <c r="C51"/>
  <c r="C52"/>
  <c r="C53"/>
  <c r="C54"/>
  <c r="C55"/>
  <c r="C56"/>
  <c r="C57"/>
  <c r="C58"/>
  <c r="C59"/>
  <c r="C60"/>
  <c r="C44"/>
  <c r="C20"/>
  <c r="C19"/>
  <c r="C18"/>
  <c r="C17"/>
  <c r="C16"/>
  <c r="C15"/>
  <c r="C14"/>
  <c r="C13"/>
  <c r="C12"/>
  <c r="C11"/>
  <c r="C10"/>
  <c r="C9"/>
  <c r="C8"/>
  <c r="C7"/>
  <c r="C6"/>
  <c r="C5"/>
  <c r="C4"/>
  <c r="E7" i="8"/>
  <c r="C5"/>
  <c r="B6"/>
  <c r="J3" i="1"/>
  <c r="K4"/>
  <c r="K5"/>
  <c r="K6"/>
  <c r="K7"/>
  <c r="K8"/>
  <c r="K9"/>
  <c r="K10"/>
  <c r="K11"/>
  <c r="K12"/>
  <c r="K13"/>
  <c r="K14"/>
  <c r="K15"/>
  <c r="K16"/>
  <c r="K17"/>
  <c r="K18"/>
  <c r="K19"/>
  <c r="J4"/>
  <c r="M4" s="1"/>
  <c r="N4" s="1"/>
  <c r="J5"/>
  <c r="M5" s="1"/>
  <c r="N5" s="1"/>
  <c r="J6"/>
  <c r="M6" s="1"/>
  <c r="N6" s="1"/>
  <c r="J7"/>
  <c r="M7" s="1"/>
  <c r="N7" s="1"/>
  <c r="J8"/>
  <c r="M8" s="1"/>
  <c r="N8" s="1"/>
  <c r="J9"/>
  <c r="M9" s="1"/>
  <c r="N9" s="1"/>
  <c r="J10"/>
  <c r="M10" s="1"/>
  <c r="N10" s="1"/>
  <c r="J11"/>
  <c r="M11" s="1"/>
  <c r="N11" s="1"/>
  <c r="J12"/>
  <c r="M12" s="1"/>
  <c r="N12" s="1"/>
  <c r="J13"/>
  <c r="M13" s="1"/>
  <c r="N13" s="1"/>
  <c r="J14"/>
  <c r="M14" s="1"/>
  <c r="N14" s="1"/>
  <c r="J15"/>
  <c r="M15" s="1"/>
  <c r="N15" s="1"/>
  <c r="J16"/>
  <c r="M16" s="1"/>
  <c r="N16" s="1"/>
  <c r="J17"/>
  <c r="M17" s="1"/>
  <c r="N17" s="1"/>
  <c r="J18"/>
  <c r="M18" s="1"/>
  <c r="N18" s="1"/>
  <c r="J19"/>
  <c r="M19" s="1"/>
  <c r="N19" s="1"/>
  <c r="K3"/>
  <c r="D3"/>
  <c r="I3" s="1"/>
  <c r="C40"/>
  <c r="C19" s="1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D19" s="1"/>
  <c r="I19" s="1"/>
  <c r="L3" i="2"/>
  <c r="M3" s="1"/>
  <c r="N3" s="1"/>
  <c r="O3" s="1"/>
  <c r="L4"/>
  <c r="M4" s="1"/>
  <c r="L5"/>
  <c r="M5" s="1"/>
  <c r="L6"/>
  <c r="M6" s="1"/>
  <c r="N6" s="1"/>
  <c r="O6" s="1"/>
  <c r="L7"/>
  <c r="M7" s="1"/>
  <c r="L8"/>
  <c r="M8" s="1"/>
  <c r="N8" s="1"/>
  <c r="O8" s="1"/>
  <c r="L9"/>
  <c r="M9" s="1"/>
  <c r="L10"/>
  <c r="M10" s="1"/>
  <c r="N10" s="1"/>
  <c r="O10" s="1"/>
  <c r="L11"/>
  <c r="M11" s="1"/>
  <c r="N11" s="1"/>
  <c r="O11" s="1"/>
  <c r="L12"/>
  <c r="M12" s="1"/>
  <c r="L13"/>
  <c r="M13" s="1"/>
  <c r="L14"/>
  <c r="M14" s="1"/>
  <c r="N14" s="1"/>
  <c r="O14" s="1"/>
  <c r="L15"/>
  <c r="M15" s="1"/>
  <c r="L16"/>
  <c r="M16" s="1"/>
  <c r="N16" s="1"/>
  <c r="O16" s="1"/>
  <c r="L17"/>
  <c r="M17" s="1"/>
  <c r="L18"/>
  <c r="M18" s="1"/>
  <c r="N18" s="1"/>
  <c r="O18" s="1"/>
  <c r="L2"/>
  <c r="M2" s="1"/>
  <c r="H3"/>
  <c r="H4"/>
  <c r="H5"/>
  <c r="H6"/>
  <c r="H7"/>
  <c r="H8"/>
  <c r="H9"/>
  <c r="H10"/>
  <c r="H11"/>
  <c r="H12"/>
  <c r="H13"/>
  <c r="H14"/>
  <c r="H15"/>
  <c r="H16"/>
  <c r="H17"/>
  <c r="H18"/>
  <c r="H2"/>
  <c r="B18"/>
  <c r="C18"/>
  <c r="C3"/>
  <c r="C4"/>
  <c r="N4" s="1"/>
  <c r="O4" s="1"/>
  <c r="C5"/>
  <c r="N5" s="1"/>
  <c r="O5" s="1"/>
  <c r="C6"/>
  <c r="C7"/>
  <c r="N7" s="1"/>
  <c r="O7" s="1"/>
  <c r="C8"/>
  <c r="C9"/>
  <c r="N9" s="1"/>
  <c r="O9" s="1"/>
  <c r="C10"/>
  <c r="C11"/>
  <c r="C12"/>
  <c r="N12" s="1"/>
  <c r="O12" s="1"/>
  <c r="C13"/>
  <c r="N13" s="1"/>
  <c r="O13" s="1"/>
  <c r="C14"/>
  <c r="C15"/>
  <c r="N15" s="1"/>
  <c r="O15" s="1"/>
  <c r="C16"/>
  <c r="C17"/>
  <c r="N17" s="1"/>
  <c r="O17" s="1"/>
  <c r="C2"/>
  <c r="N2" s="1"/>
  <c r="O2" s="1"/>
  <c r="B17"/>
  <c r="B16"/>
  <c r="B3"/>
  <c r="B4"/>
  <c r="B5"/>
  <c r="B6"/>
  <c r="B7"/>
  <c r="B8"/>
  <c r="B9"/>
  <c r="B10"/>
  <c r="B11"/>
  <c r="B12"/>
  <c r="B13"/>
  <c r="B14"/>
  <c r="B15"/>
  <c r="B2"/>
  <c r="P19" i="1" l="1"/>
  <c r="D18"/>
  <c r="I18" s="1"/>
  <c r="D16"/>
  <c r="I16" s="1"/>
  <c r="D14"/>
  <c r="I14" s="1"/>
  <c r="D12"/>
  <c r="I12" s="1"/>
  <c r="D10"/>
  <c r="I10" s="1"/>
  <c r="D8"/>
  <c r="I8" s="1"/>
  <c r="D6"/>
  <c r="I6" s="1"/>
  <c r="D4"/>
  <c r="I4" s="1"/>
  <c r="M3"/>
  <c r="N3" s="1"/>
  <c r="P3" s="1"/>
  <c r="B2"/>
  <c r="D17"/>
  <c r="I17" s="1"/>
  <c r="D15"/>
  <c r="I15" s="1"/>
  <c r="D13"/>
  <c r="I13" s="1"/>
  <c r="D11"/>
  <c r="I11" s="1"/>
  <c r="D9"/>
  <c r="I9" s="1"/>
  <c r="D7"/>
  <c r="I7" s="1"/>
  <c r="D5"/>
  <c r="I5" s="1"/>
  <c r="E23" i="10"/>
  <c r="F136"/>
  <c r="F134"/>
  <c r="F132"/>
  <c r="F130"/>
  <c r="F128"/>
  <c r="F126"/>
  <c r="F124"/>
  <c r="F121"/>
  <c r="G121" s="1"/>
  <c r="F135"/>
  <c r="F133"/>
  <c r="G133" s="1"/>
  <c r="F131"/>
  <c r="F129"/>
  <c r="G129" s="1"/>
  <c r="F127"/>
  <c r="F125"/>
  <c r="F123"/>
  <c r="G123" s="1"/>
  <c r="G127" l="1"/>
  <c r="G131"/>
  <c r="G135"/>
  <c r="P7" i="1"/>
  <c r="P11"/>
  <c r="P15"/>
  <c r="P6"/>
  <c r="P10"/>
  <c r="P14"/>
  <c r="P18"/>
  <c r="P5"/>
  <c r="P9"/>
  <c r="P13"/>
  <c r="P17"/>
  <c r="P4"/>
  <c r="P8"/>
  <c r="P12"/>
  <c r="P16"/>
  <c r="G125" i="10"/>
  <c r="G122"/>
  <c r="G134"/>
  <c r="G132"/>
  <c r="G130"/>
  <c r="G126"/>
  <c r="G136"/>
  <c r="G128"/>
  <c r="G124"/>
</calcChain>
</file>

<file path=xl/sharedStrings.xml><?xml version="1.0" encoding="utf-8"?>
<sst xmlns="http://schemas.openxmlformats.org/spreadsheetml/2006/main" count="152" uniqueCount="80">
  <si>
    <t>ft</t>
  </si>
  <si>
    <t>dm</t>
  </si>
  <si>
    <t>v0</t>
  </si>
  <si>
    <t>ts-L</t>
  </si>
  <si>
    <t>ts-H</t>
  </si>
  <si>
    <t>sudut_L</t>
  </si>
  <si>
    <t>Sudut_H</t>
  </si>
  <si>
    <t>Height</t>
  </si>
  <si>
    <t>meter</t>
  </si>
  <si>
    <t>ts2</t>
  </si>
  <si>
    <t>COS A</t>
  </si>
  <si>
    <t>a</t>
  </si>
  <si>
    <t>v0 cos a t</t>
  </si>
  <si>
    <t>TTLF</t>
  </si>
  <si>
    <t>Elev low</t>
  </si>
  <si>
    <t>Height low(ft)</t>
  </si>
  <si>
    <t>V</t>
  </si>
  <si>
    <t>vo2</t>
  </si>
  <si>
    <t>sin2o</t>
  </si>
  <si>
    <t>g</t>
  </si>
  <si>
    <t>s</t>
  </si>
  <si>
    <t>m</t>
  </si>
  <si>
    <t>sudut</t>
  </si>
  <si>
    <t>jarak</t>
  </si>
  <si>
    <t>DM</t>
  </si>
  <si>
    <t>ttff</t>
  </si>
  <si>
    <t>y</t>
  </si>
  <si>
    <t>tinggi</t>
  </si>
  <si>
    <t>x</t>
  </si>
  <si>
    <t>elevasi(ft)</t>
  </si>
  <si>
    <t>waktu</t>
  </si>
  <si>
    <t>vrata</t>
  </si>
  <si>
    <t>low</t>
  </si>
  <si>
    <t>y=waktu</t>
  </si>
  <si>
    <t>x=jarak</t>
  </si>
  <si>
    <t>y=elevasi</t>
  </si>
  <si>
    <t>TOF</t>
  </si>
  <si>
    <t>Height(ft)</t>
  </si>
  <si>
    <t>y=Summit High</t>
  </si>
  <si>
    <t>tof</t>
  </si>
  <si>
    <t>y=waktu (TOF)</t>
  </si>
  <si>
    <t>ttlf(detik)</t>
  </si>
  <si>
    <t>nm</t>
  </si>
  <si>
    <t>yards</t>
  </si>
  <si>
    <t>speed (m/s)</t>
  </si>
  <si>
    <t>(s)</t>
  </si>
  <si>
    <t>(m)</t>
  </si>
  <si>
    <r>
      <t>sudut(</t>
    </r>
    <r>
      <rPr>
        <sz val="11"/>
        <color theme="1"/>
        <rFont val="Calibri"/>
        <family val="2"/>
      </rPr>
      <t>°)</t>
    </r>
  </si>
  <si>
    <t>t</t>
  </si>
  <si>
    <t>dt</t>
  </si>
  <si>
    <t>ds</t>
  </si>
  <si>
    <t>ds/dt</t>
  </si>
  <si>
    <t>dv/dt</t>
  </si>
  <si>
    <t>elevasi</t>
  </si>
  <si>
    <t>tertinggi</t>
  </si>
  <si>
    <t>persamaan gerak untuk bidang horizontal</t>
  </si>
  <si>
    <t>jarak(m)</t>
  </si>
  <si>
    <t>rangeToelev</t>
  </si>
  <si>
    <t>validasi</t>
  </si>
  <si>
    <t>error</t>
  </si>
  <si>
    <t>feet</t>
  </si>
  <si>
    <t>Height (ft)</t>
  </si>
  <si>
    <t>height (meter)</t>
  </si>
  <si>
    <t>ttff (s)</t>
  </si>
  <si>
    <t>(ft)</t>
  </si>
  <si>
    <t>height(m)</t>
  </si>
  <si>
    <t>Original Data</t>
  </si>
  <si>
    <t>HIGH</t>
  </si>
  <si>
    <t>LOW</t>
  </si>
  <si>
    <t>waktu(s)</t>
  </si>
  <si>
    <t>jarakmax (m)</t>
  </si>
  <si>
    <t>cos</t>
  </si>
  <si>
    <t>sin 2a</t>
  </si>
  <si>
    <r>
      <t>Rumus ketinggian maksimum adalah :</t>
    </r>
    <r>
      <rPr>
        <b/>
        <sz val="10"/>
        <color rgb="FF000000"/>
        <rFont val="Arial"/>
        <family val="2"/>
      </rPr>
      <t> </t>
    </r>
  </si>
  <si>
    <t>dan waktu saat ketinggian maksimum terjadi :</t>
  </si>
  <si>
    <t>bila diketahui ketinggan maksimumnya juga dapat dicari waktunya dengan rumus :</t>
  </si>
  <si>
    <t>demikian pula bila waktu saat ketinggian maksimum diketahui maka ketinggian maksimumnya dapat dicari dengan rumus :</t>
  </si>
  <si>
    <t>Sedangkan jarak tempuh horizontal terjauh/maksimalnya dapat dicari dengan rumus :</t>
  </si>
  <si>
    <t>waktu untuk mencapai jarak tempuh terjauh sama dengan dua kali waktu yang dibutuhkan untuk mencapai titik tertinggi :</t>
  </si>
  <si>
    <t>inverted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</si>
</sst>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</font>
    <font>
      <sz val="11"/>
      <color theme="6" tint="-0.249977111117893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3388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0" borderId="0" xfId="0" applyFill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4" borderId="0" xfId="0" applyFill="1"/>
    <xf numFmtId="0" fontId="2" fillId="3" borderId="0" xfId="0" applyFont="1" applyFill="1"/>
    <xf numFmtId="0" fontId="10" fillId="3" borderId="0" xfId="0" applyFont="1" applyFill="1"/>
    <xf numFmtId="0" fontId="13" fillId="4" borderId="0" xfId="0" applyFont="1" applyFill="1"/>
    <xf numFmtId="0" fontId="14" fillId="0" borderId="0" xfId="0" applyFont="1"/>
    <xf numFmtId="0" fontId="1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4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LOW!$B$3:$B$19</c:f>
              <c:numCache>
                <c:formatCode>General</c:formatCode>
                <c:ptCount val="17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</c:numCache>
            </c:numRef>
          </c:xVal>
          <c:yVal>
            <c:numRef>
              <c:f>LOW!$D$3:$D$19</c:f>
              <c:numCache>
                <c:formatCode>General</c:formatCode>
                <c:ptCount val="17"/>
                <c:pt idx="0">
                  <c:v>1.1000000000000001</c:v>
                </c:pt>
                <c:pt idx="1">
                  <c:v>2.2999999999999998</c:v>
                </c:pt>
                <c:pt idx="2">
                  <c:v>3.7</c:v>
                </c:pt>
                <c:pt idx="3">
                  <c:v>5.4</c:v>
                </c:pt>
                <c:pt idx="4">
                  <c:v>7.3</c:v>
                </c:pt>
                <c:pt idx="5">
                  <c:v>9.6</c:v>
                </c:pt>
                <c:pt idx="6">
                  <c:v>12.2</c:v>
                </c:pt>
                <c:pt idx="7">
                  <c:v>15.2</c:v>
                </c:pt>
                <c:pt idx="8">
                  <c:v>18.3</c:v>
                </c:pt>
                <c:pt idx="9">
                  <c:v>21.5</c:v>
                </c:pt>
                <c:pt idx="10">
                  <c:v>25</c:v>
                </c:pt>
                <c:pt idx="11">
                  <c:v>28.8</c:v>
                </c:pt>
                <c:pt idx="12">
                  <c:v>32.799999999999997</c:v>
                </c:pt>
                <c:pt idx="13">
                  <c:v>37.200000000000003</c:v>
                </c:pt>
                <c:pt idx="14">
                  <c:v>42.2</c:v>
                </c:pt>
                <c:pt idx="15">
                  <c:v>48</c:v>
                </c:pt>
                <c:pt idx="16">
                  <c:v>55.8</c:v>
                </c:pt>
              </c:numCache>
            </c:numRef>
          </c:yVal>
        </c:ser>
        <c:axId val="81675392"/>
        <c:axId val="81676928"/>
      </c:scatterChart>
      <c:valAx>
        <c:axId val="81675392"/>
        <c:scaling>
          <c:orientation val="minMax"/>
        </c:scaling>
        <c:axPos val="b"/>
        <c:numFmt formatCode="General" sourceLinked="1"/>
        <c:tickLblPos val="nextTo"/>
        <c:crossAx val="81676928"/>
        <c:crosses val="autoZero"/>
        <c:crossBetween val="midCat"/>
      </c:valAx>
      <c:valAx>
        <c:axId val="81676928"/>
        <c:scaling>
          <c:orientation val="minMax"/>
        </c:scaling>
        <c:axPos val="l"/>
        <c:majorGridlines/>
        <c:numFmt formatCode="General" sourceLinked="1"/>
        <c:tickLblPos val="nextTo"/>
        <c:crossAx val="816753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4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LOW!$B$24:$B$40</c:f>
              <c:numCache>
                <c:formatCode>General</c:formatCode>
                <c:ptCount val="17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</c:numCache>
            </c:numRef>
          </c:xVal>
          <c:yVal>
            <c:numRef>
              <c:f>LOW!$D$24:$D$40</c:f>
              <c:numCache>
                <c:formatCode>General</c:formatCode>
                <c:ptCount val="17"/>
                <c:pt idx="0">
                  <c:v>0.3</c:v>
                </c:pt>
                <c:pt idx="1">
                  <c:v>0.8</c:v>
                </c:pt>
                <c:pt idx="2">
                  <c:v>1.3</c:v>
                </c:pt>
                <c:pt idx="3">
                  <c:v>1.9</c:v>
                </c:pt>
                <c:pt idx="4">
                  <c:v>2.6</c:v>
                </c:pt>
                <c:pt idx="5">
                  <c:v>3.6</c:v>
                </c:pt>
                <c:pt idx="6">
                  <c:v>4.8</c:v>
                </c:pt>
                <c:pt idx="7">
                  <c:v>6.3</c:v>
                </c:pt>
                <c:pt idx="8">
                  <c:v>8</c:v>
                </c:pt>
                <c:pt idx="9">
                  <c:v>10.1</c:v>
                </c:pt>
                <c:pt idx="10">
                  <c:v>12.3</c:v>
                </c:pt>
                <c:pt idx="11">
                  <c:v>14.9</c:v>
                </c:pt>
                <c:pt idx="12">
                  <c:v>17.8</c:v>
                </c:pt>
                <c:pt idx="13">
                  <c:v>21</c:v>
                </c:pt>
                <c:pt idx="14">
                  <c:v>24.8</c:v>
                </c:pt>
                <c:pt idx="15">
                  <c:v>29.4</c:v>
                </c:pt>
                <c:pt idx="16">
                  <c:v>35.9</c:v>
                </c:pt>
              </c:numCache>
            </c:numRef>
          </c:yVal>
        </c:ser>
        <c:axId val="81713792"/>
        <c:axId val="81715584"/>
      </c:scatterChart>
      <c:valAx>
        <c:axId val="81713792"/>
        <c:scaling>
          <c:orientation val="minMax"/>
        </c:scaling>
        <c:axPos val="b"/>
        <c:numFmt formatCode="General" sourceLinked="1"/>
        <c:tickLblPos val="nextTo"/>
        <c:crossAx val="81715584"/>
        <c:crosses val="autoZero"/>
        <c:crossBetween val="midCat"/>
      </c:valAx>
      <c:valAx>
        <c:axId val="81715584"/>
        <c:scaling>
          <c:orientation val="minMax"/>
        </c:scaling>
        <c:axPos val="l"/>
        <c:majorGridlines/>
        <c:numFmt formatCode="General" sourceLinked="1"/>
        <c:tickLblPos val="nextTo"/>
        <c:crossAx val="817137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rendline>
            <c:trendlineType val="poly"/>
            <c:order val="4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LOW!$O$24:$O$40</c:f>
              <c:numCache>
                <c:formatCode>General</c:formatCode>
                <c:ptCount val="17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</c:numCache>
            </c:numRef>
          </c:xVal>
          <c:yVal>
            <c:numRef>
              <c:f>LOW!$P$24:$P$40</c:f>
              <c:numCache>
                <c:formatCode>General</c:formatCode>
                <c:ptCount val="17"/>
                <c:pt idx="0">
                  <c:v>5</c:v>
                </c:pt>
                <c:pt idx="1">
                  <c:v>22</c:v>
                </c:pt>
                <c:pt idx="2">
                  <c:v>57</c:v>
                </c:pt>
                <c:pt idx="3">
                  <c:v>118</c:v>
                </c:pt>
                <c:pt idx="4">
                  <c:v>217</c:v>
                </c:pt>
                <c:pt idx="5">
                  <c:v>371</c:v>
                </c:pt>
                <c:pt idx="6">
                  <c:v>613</c:v>
                </c:pt>
                <c:pt idx="7">
                  <c:v>965</c:v>
                </c:pt>
                <c:pt idx="8">
                  <c:v>1443</c:v>
                </c:pt>
                <c:pt idx="9">
                  <c:v>2057</c:v>
                </c:pt>
                <c:pt idx="10">
                  <c:v>2822</c:v>
                </c:pt>
                <c:pt idx="11">
                  <c:v>3763</c:v>
                </c:pt>
                <c:pt idx="12">
                  <c:v>4909</c:v>
                </c:pt>
                <c:pt idx="13">
                  <c:v>6314</c:v>
                </c:pt>
                <c:pt idx="14">
                  <c:v>8067</c:v>
                </c:pt>
                <c:pt idx="15">
                  <c:v>10377</c:v>
                </c:pt>
                <c:pt idx="16">
                  <c:v>13822</c:v>
                </c:pt>
              </c:numCache>
            </c:numRef>
          </c:yVal>
          <c:smooth val="1"/>
        </c:ser>
        <c:axId val="81748352"/>
        <c:axId val="81749888"/>
      </c:scatterChart>
      <c:valAx>
        <c:axId val="81748352"/>
        <c:scaling>
          <c:orientation val="minMax"/>
        </c:scaling>
        <c:axPos val="b"/>
        <c:numFmt formatCode="General" sourceLinked="1"/>
        <c:tickLblPos val="nextTo"/>
        <c:crossAx val="81749888"/>
        <c:crosses val="autoZero"/>
        <c:crossBetween val="midCat"/>
      </c:valAx>
      <c:valAx>
        <c:axId val="81749888"/>
        <c:scaling>
          <c:orientation val="minMax"/>
        </c:scaling>
        <c:axPos val="l"/>
        <c:majorGridlines/>
        <c:numFmt formatCode="General" sourceLinked="1"/>
        <c:tickLblPos val="nextTo"/>
        <c:crossAx val="8174835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235766451763545"/>
          <c:y val="4.2689663792025996E-2"/>
          <c:w val="0.71373243912880113"/>
          <c:h val="0.87247205210460066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4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LOW!$O$3:$O$19</c:f>
              <c:numCache>
                <c:formatCode>General</c:formatCode>
                <c:ptCount val="17"/>
                <c:pt idx="0">
                  <c:v>1.1000000000000001</c:v>
                </c:pt>
                <c:pt idx="1">
                  <c:v>2.2999999999999998</c:v>
                </c:pt>
                <c:pt idx="2">
                  <c:v>3.7</c:v>
                </c:pt>
                <c:pt idx="3">
                  <c:v>5.4</c:v>
                </c:pt>
                <c:pt idx="4">
                  <c:v>7.3</c:v>
                </c:pt>
                <c:pt idx="5">
                  <c:v>9.6</c:v>
                </c:pt>
                <c:pt idx="6">
                  <c:v>12.2</c:v>
                </c:pt>
                <c:pt idx="7">
                  <c:v>15.2</c:v>
                </c:pt>
                <c:pt idx="8">
                  <c:v>18.3</c:v>
                </c:pt>
                <c:pt idx="9">
                  <c:v>21.5</c:v>
                </c:pt>
                <c:pt idx="10">
                  <c:v>25</c:v>
                </c:pt>
                <c:pt idx="11">
                  <c:v>28.8</c:v>
                </c:pt>
                <c:pt idx="12">
                  <c:v>32.799999999999997</c:v>
                </c:pt>
                <c:pt idx="13">
                  <c:v>37.200000000000003</c:v>
                </c:pt>
                <c:pt idx="14">
                  <c:v>42.2</c:v>
                </c:pt>
                <c:pt idx="15">
                  <c:v>48</c:v>
                </c:pt>
                <c:pt idx="16">
                  <c:v>55.8</c:v>
                </c:pt>
              </c:numCache>
            </c:numRef>
          </c:xVal>
          <c:yVal>
            <c:numRef>
              <c:f>LOW!$P$3:$P$19</c:f>
              <c:numCache>
                <c:formatCode>General</c:formatCode>
                <c:ptCount val="17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</c:numCache>
            </c:numRef>
          </c:yVal>
        </c:ser>
        <c:axId val="81774464"/>
        <c:axId val="81776000"/>
      </c:scatterChart>
      <c:valAx>
        <c:axId val="81774464"/>
        <c:scaling>
          <c:orientation val="minMax"/>
        </c:scaling>
        <c:axPos val="b"/>
        <c:numFmt formatCode="General" sourceLinked="1"/>
        <c:tickLblPos val="nextTo"/>
        <c:crossAx val="81776000"/>
        <c:crosses val="autoZero"/>
        <c:crossBetween val="midCat"/>
      </c:valAx>
      <c:valAx>
        <c:axId val="81776000"/>
        <c:scaling>
          <c:orientation val="minMax"/>
        </c:scaling>
        <c:axPos val="l"/>
        <c:majorGridlines/>
        <c:numFmt formatCode="General" sourceLinked="1"/>
        <c:tickLblPos val="nextTo"/>
        <c:crossAx val="817744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696354622338872"/>
          <c:y val="1.3561154855643081E-2"/>
          <c:w val="0.84481837918408365"/>
          <c:h val="0.91965739282589765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4"/>
          </c:marker>
          <c:trendline>
            <c:trendlineType val="poly"/>
            <c:order val="5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HIGHT!$J$2:$J$22</c:f>
              <c:numCache>
                <c:formatCode>General</c:formatCode>
                <c:ptCount val="21"/>
                <c:pt idx="0">
                  <c:v>8.6</c:v>
                </c:pt>
                <c:pt idx="1">
                  <c:v>8.5</c:v>
                </c:pt>
                <c:pt idx="2">
                  <c:v>8.4</c:v>
                </c:pt>
                <c:pt idx="3">
                  <c:v>8.3000000000000007</c:v>
                </c:pt>
                <c:pt idx="4">
                  <c:v>8.1999999999999993</c:v>
                </c:pt>
                <c:pt idx="5">
                  <c:v>8.1</c:v>
                </c:pt>
                <c:pt idx="6">
                  <c:v>8</c:v>
                </c:pt>
                <c:pt idx="7">
                  <c:v>7.9</c:v>
                </c:pt>
                <c:pt idx="8">
                  <c:v>7.8</c:v>
                </c:pt>
                <c:pt idx="9">
                  <c:v>7.7</c:v>
                </c:pt>
                <c:pt idx="10">
                  <c:v>7.6</c:v>
                </c:pt>
                <c:pt idx="11">
                  <c:v>7.5</c:v>
                </c:pt>
                <c:pt idx="12">
                  <c:v>7.4</c:v>
                </c:pt>
                <c:pt idx="13">
                  <c:v>7.3</c:v>
                </c:pt>
                <c:pt idx="14">
                  <c:v>7.2</c:v>
                </c:pt>
                <c:pt idx="15">
                  <c:v>7.1</c:v>
                </c:pt>
                <c:pt idx="16">
                  <c:v>7</c:v>
                </c:pt>
                <c:pt idx="17">
                  <c:v>6.9</c:v>
                </c:pt>
                <c:pt idx="18">
                  <c:v>6.8</c:v>
                </c:pt>
                <c:pt idx="19">
                  <c:v>6.7</c:v>
                </c:pt>
                <c:pt idx="20">
                  <c:v>6.6</c:v>
                </c:pt>
              </c:numCache>
            </c:numRef>
          </c:xVal>
          <c:yVal>
            <c:numRef>
              <c:f>HIGHT!$K$2:$K$22</c:f>
              <c:numCache>
                <c:formatCode>General</c:formatCode>
                <c:ptCount val="21"/>
                <c:pt idx="0">
                  <c:v>54</c:v>
                </c:pt>
                <c:pt idx="1">
                  <c:v>55.2</c:v>
                </c:pt>
                <c:pt idx="2">
                  <c:v>56.2</c:v>
                </c:pt>
                <c:pt idx="3">
                  <c:v>57.2</c:v>
                </c:pt>
                <c:pt idx="4">
                  <c:v>58.1</c:v>
                </c:pt>
                <c:pt idx="5">
                  <c:v>58.8</c:v>
                </c:pt>
                <c:pt idx="6">
                  <c:v>59.6</c:v>
                </c:pt>
                <c:pt idx="7">
                  <c:v>60.3</c:v>
                </c:pt>
                <c:pt idx="8">
                  <c:v>61</c:v>
                </c:pt>
                <c:pt idx="9">
                  <c:v>61.7</c:v>
                </c:pt>
                <c:pt idx="10">
                  <c:v>62.3</c:v>
                </c:pt>
                <c:pt idx="11">
                  <c:v>62.9</c:v>
                </c:pt>
                <c:pt idx="12">
                  <c:v>63.5</c:v>
                </c:pt>
                <c:pt idx="13">
                  <c:v>64.099999999999994</c:v>
                </c:pt>
                <c:pt idx="14">
                  <c:v>64.599999999999994</c:v>
                </c:pt>
                <c:pt idx="15">
                  <c:v>65.2</c:v>
                </c:pt>
                <c:pt idx="16">
                  <c:v>65.7</c:v>
                </c:pt>
                <c:pt idx="17">
                  <c:v>66.2</c:v>
                </c:pt>
                <c:pt idx="18">
                  <c:v>66.7</c:v>
                </c:pt>
                <c:pt idx="19">
                  <c:v>67.2</c:v>
                </c:pt>
                <c:pt idx="20">
                  <c:v>67.8</c:v>
                </c:pt>
              </c:numCache>
            </c:numRef>
          </c:yVal>
        </c:ser>
        <c:axId val="81855232"/>
        <c:axId val="81856768"/>
      </c:scatterChart>
      <c:valAx>
        <c:axId val="81855232"/>
        <c:scaling>
          <c:orientation val="minMax"/>
        </c:scaling>
        <c:axPos val="b"/>
        <c:numFmt formatCode="General" sourceLinked="1"/>
        <c:tickLblPos val="nextTo"/>
        <c:crossAx val="81856768"/>
        <c:crosses val="autoZero"/>
        <c:crossBetween val="midCat"/>
      </c:valAx>
      <c:valAx>
        <c:axId val="81856768"/>
        <c:scaling>
          <c:orientation val="minMax"/>
        </c:scaling>
        <c:axPos val="l"/>
        <c:majorGridlines/>
        <c:numFmt formatCode="General" sourceLinked="1"/>
        <c:tickLblPos val="nextTo"/>
        <c:crossAx val="818552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3"/>
          </c:marker>
          <c:trendline>
            <c:trendlineType val="poly"/>
            <c:order val="4"/>
            <c:dispRSqr val="1"/>
            <c:dispEq val="1"/>
            <c:trendlineLbl>
              <c:numFmt formatCode="General" sourceLinked="0"/>
            </c:trendlineLbl>
          </c:trendline>
          <c:xVal>
            <c:numRef>
              <c:f>HIGHT!$B$47:$B$67</c:f>
              <c:numCache>
                <c:formatCode>General</c:formatCode>
                <c:ptCount val="21"/>
                <c:pt idx="0">
                  <c:v>8.6</c:v>
                </c:pt>
                <c:pt idx="1">
                  <c:v>8.5</c:v>
                </c:pt>
                <c:pt idx="2">
                  <c:v>8.4</c:v>
                </c:pt>
                <c:pt idx="3">
                  <c:v>8.3000000000000007</c:v>
                </c:pt>
                <c:pt idx="4">
                  <c:v>8.1999999999999993</c:v>
                </c:pt>
                <c:pt idx="5">
                  <c:v>8.1</c:v>
                </c:pt>
                <c:pt idx="6">
                  <c:v>8</c:v>
                </c:pt>
                <c:pt idx="7">
                  <c:v>7.9</c:v>
                </c:pt>
                <c:pt idx="8">
                  <c:v>7.8</c:v>
                </c:pt>
                <c:pt idx="9">
                  <c:v>7.7</c:v>
                </c:pt>
                <c:pt idx="10">
                  <c:v>7.6</c:v>
                </c:pt>
                <c:pt idx="11">
                  <c:v>7.5</c:v>
                </c:pt>
                <c:pt idx="12">
                  <c:v>7.4</c:v>
                </c:pt>
                <c:pt idx="13">
                  <c:v>7.3</c:v>
                </c:pt>
                <c:pt idx="14">
                  <c:v>7.2</c:v>
                </c:pt>
                <c:pt idx="15">
                  <c:v>7.1</c:v>
                </c:pt>
                <c:pt idx="16">
                  <c:v>7</c:v>
                </c:pt>
                <c:pt idx="17">
                  <c:v>6.9</c:v>
                </c:pt>
                <c:pt idx="18">
                  <c:v>6.8</c:v>
                </c:pt>
                <c:pt idx="19">
                  <c:v>6.7</c:v>
                </c:pt>
                <c:pt idx="20">
                  <c:v>6.6</c:v>
                </c:pt>
              </c:numCache>
            </c:numRef>
          </c:xVal>
          <c:yVal>
            <c:numRef>
              <c:f>HIGHT!$C$47:$C$67</c:f>
              <c:numCache>
                <c:formatCode>General</c:formatCode>
                <c:ptCount val="21"/>
                <c:pt idx="0">
                  <c:v>24761</c:v>
                </c:pt>
                <c:pt idx="1">
                  <c:v>25502</c:v>
                </c:pt>
                <c:pt idx="2">
                  <c:v>26094</c:v>
                </c:pt>
                <c:pt idx="3">
                  <c:v>26639</c:v>
                </c:pt>
                <c:pt idx="4">
                  <c:v>27181</c:v>
                </c:pt>
                <c:pt idx="5">
                  <c:v>27602</c:v>
                </c:pt>
                <c:pt idx="6">
                  <c:v>28023</c:v>
                </c:pt>
                <c:pt idx="7">
                  <c:v>28424</c:v>
                </c:pt>
                <c:pt idx="8">
                  <c:v>28774</c:v>
                </c:pt>
                <c:pt idx="9">
                  <c:v>29124</c:v>
                </c:pt>
                <c:pt idx="10">
                  <c:v>29446</c:v>
                </c:pt>
                <c:pt idx="11">
                  <c:v>29746</c:v>
                </c:pt>
                <c:pt idx="12">
                  <c:v>30046</c:v>
                </c:pt>
                <c:pt idx="13">
                  <c:v>30315</c:v>
                </c:pt>
                <c:pt idx="14">
                  <c:v>30578</c:v>
                </c:pt>
                <c:pt idx="15">
                  <c:v>30837</c:v>
                </c:pt>
                <c:pt idx="16">
                  <c:v>31069</c:v>
                </c:pt>
                <c:pt idx="17">
                  <c:v>31301</c:v>
                </c:pt>
                <c:pt idx="18">
                  <c:v>31525</c:v>
                </c:pt>
                <c:pt idx="19">
                  <c:v>31731</c:v>
                </c:pt>
                <c:pt idx="20">
                  <c:v>31938</c:v>
                </c:pt>
              </c:numCache>
            </c:numRef>
          </c:yVal>
        </c:ser>
        <c:axId val="81897728"/>
        <c:axId val="81899520"/>
      </c:scatterChart>
      <c:valAx>
        <c:axId val="81897728"/>
        <c:scaling>
          <c:orientation val="minMax"/>
        </c:scaling>
        <c:axPos val="b"/>
        <c:numFmt formatCode="General" sourceLinked="1"/>
        <c:tickLblPos val="nextTo"/>
        <c:crossAx val="81899520"/>
        <c:crosses val="autoZero"/>
        <c:crossBetween val="midCat"/>
      </c:valAx>
      <c:valAx>
        <c:axId val="81899520"/>
        <c:scaling>
          <c:orientation val="minMax"/>
        </c:scaling>
        <c:axPos val="l"/>
        <c:majorGridlines/>
        <c:numFmt formatCode="General" sourceLinked="1"/>
        <c:tickLblPos val="nextTo"/>
        <c:crossAx val="8189772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4"/>
          </c:marker>
          <c:trendline>
            <c:trendlineType val="poly"/>
            <c:order val="4"/>
            <c:dispRSqr val="1"/>
            <c:dispEq val="1"/>
            <c:trendlineLbl>
              <c:numFmt formatCode="General" sourceLinked="0"/>
            </c:trendlineLbl>
          </c:trendline>
          <c:xVal>
            <c:numRef>
              <c:f>HIGHT!$B$87:$B$107</c:f>
              <c:numCache>
                <c:formatCode>General</c:formatCode>
                <c:ptCount val="21"/>
                <c:pt idx="0">
                  <c:v>8.6</c:v>
                </c:pt>
                <c:pt idx="1">
                  <c:v>8.5</c:v>
                </c:pt>
                <c:pt idx="2">
                  <c:v>8.4</c:v>
                </c:pt>
                <c:pt idx="3">
                  <c:v>8.3000000000000007</c:v>
                </c:pt>
                <c:pt idx="4">
                  <c:v>8.1999999999999993</c:v>
                </c:pt>
                <c:pt idx="5">
                  <c:v>8.1</c:v>
                </c:pt>
                <c:pt idx="6">
                  <c:v>8</c:v>
                </c:pt>
                <c:pt idx="7">
                  <c:v>7.9</c:v>
                </c:pt>
                <c:pt idx="8">
                  <c:v>7.8</c:v>
                </c:pt>
                <c:pt idx="9">
                  <c:v>7.7</c:v>
                </c:pt>
                <c:pt idx="10">
                  <c:v>7.6</c:v>
                </c:pt>
                <c:pt idx="11">
                  <c:v>7.5</c:v>
                </c:pt>
                <c:pt idx="12">
                  <c:v>7.4</c:v>
                </c:pt>
                <c:pt idx="13">
                  <c:v>7.3</c:v>
                </c:pt>
                <c:pt idx="14">
                  <c:v>7.2</c:v>
                </c:pt>
                <c:pt idx="15">
                  <c:v>7.1</c:v>
                </c:pt>
                <c:pt idx="16">
                  <c:v>7</c:v>
                </c:pt>
                <c:pt idx="17">
                  <c:v>6.9</c:v>
                </c:pt>
                <c:pt idx="18">
                  <c:v>6.8</c:v>
                </c:pt>
                <c:pt idx="19">
                  <c:v>6.7</c:v>
                </c:pt>
                <c:pt idx="20">
                  <c:v>6.6</c:v>
                </c:pt>
              </c:numCache>
            </c:numRef>
          </c:xVal>
          <c:yVal>
            <c:numRef>
              <c:f>HIGHT!$C$87:$C$107</c:f>
              <c:numCache>
                <c:formatCode>General</c:formatCode>
                <c:ptCount val="21"/>
                <c:pt idx="0">
                  <c:v>76.2</c:v>
                </c:pt>
                <c:pt idx="1">
                  <c:v>77.400000000000006</c:v>
                </c:pt>
                <c:pt idx="2">
                  <c:v>78.400000000000006</c:v>
                </c:pt>
                <c:pt idx="3">
                  <c:v>79.2</c:v>
                </c:pt>
                <c:pt idx="4">
                  <c:v>80.099999999999994</c:v>
                </c:pt>
                <c:pt idx="5">
                  <c:v>80.7</c:v>
                </c:pt>
                <c:pt idx="6">
                  <c:v>81.400000000000006</c:v>
                </c:pt>
                <c:pt idx="7">
                  <c:v>82</c:v>
                </c:pt>
                <c:pt idx="8">
                  <c:v>82.6</c:v>
                </c:pt>
                <c:pt idx="9">
                  <c:v>83.1</c:v>
                </c:pt>
                <c:pt idx="10">
                  <c:v>83.7</c:v>
                </c:pt>
                <c:pt idx="11">
                  <c:v>84.2</c:v>
                </c:pt>
                <c:pt idx="12">
                  <c:v>84.6</c:v>
                </c:pt>
                <c:pt idx="13">
                  <c:v>85.1</c:v>
                </c:pt>
                <c:pt idx="14">
                  <c:v>85.5</c:v>
                </c:pt>
                <c:pt idx="15">
                  <c:v>85.9</c:v>
                </c:pt>
                <c:pt idx="16">
                  <c:v>86.3</c:v>
                </c:pt>
                <c:pt idx="17">
                  <c:v>86.7</c:v>
                </c:pt>
                <c:pt idx="18">
                  <c:v>87.1</c:v>
                </c:pt>
                <c:pt idx="19">
                  <c:v>87.4</c:v>
                </c:pt>
                <c:pt idx="20">
                  <c:v>87.7</c:v>
                </c:pt>
              </c:numCache>
            </c:numRef>
          </c:yVal>
        </c:ser>
        <c:axId val="81920000"/>
        <c:axId val="81921536"/>
      </c:scatterChart>
      <c:valAx>
        <c:axId val="81920000"/>
        <c:scaling>
          <c:orientation val="minMax"/>
        </c:scaling>
        <c:axPos val="b"/>
        <c:numFmt formatCode="General" sourceLinked="1"/>
        <c:tickLblPos val="nextTo"/>
        <c:crossAx val="81921536"/>
        <c:crosses val="autoZero"/>
        <c:crossBetween val="midCat"/>
      </c:valAx>
      <c:valAx>
        <c:axId val="81921536"/>
        <c:scaling>
          <c:orientation val="minMax"/>
        </c:scaling>
        <c:axPos val="l"/>
        <c:majorGridlines/>
        <c:numFmt formatCode="General" sourceLinked="1"/>
        <c:tickLblPos val="nextTo"/>
        <c:crossAx val="8192000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>
        <c:manualLayout>
          <c:layoutTarget val="inner"/>
          <c:xMode val="edge"/>
          <c:yMode val="edge"/>
          <c:x val="7.7525811327361097E-2"/>
          <c:y val="0.19480355621905265"/>
          <c:w val="0.8501504811898517"/>
          <c:h val="0.65482210557013765"/>
        </c:manualLayout>
      </c:layout>
      <c:scatterChart>
        <c:scatterStyle val="lineMarker"/>
        <c:ser>
          <c:idx val="0"/>
          <c:order val="0"/>
          <c:tx>
            <c:v>elevasi</c:v>
          </c:tx>
          <c:spPr>
            <a:ln w="28575">
              <a:noFill/>
            </a:ln>
          </c:spPr>
          <c:trendline>
            <c:trendlineType val="poly"/>
            <c:order val="4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'LOW meter'!$C$44:$C$60</c:f>
              <c:numCache>
                <c:formatCode>General</c:formatCode>
                <c:ptCount val="17"/>
                <c:pt idx="0">
                  <c:v>914.4</c:v>
                </c:pt>
                <c:pt idx="1">
                  <c:v>1828.8</c:v>
                </c:pt>
                <c:pt idx="2">
                  <c:v>2743.2</c:v>
                </c:pt>
                <c:pt idx="3">
                  <c:v>3657.6</c:v>
                </c:pt>
                <c:pt idx="4">
                  <c:v>4572</c:v>
                </c:pt>
                <c:pt idx="5">
                  <c:v>5486.4</c:v>
                </c:pt>
                <c:pt idx="6">
                  <c:v>6400.8</c:v>
                </c:pt>
                <c:pt idx="7">
                  <c:v>7315.2</c:v>
                </c:pt>
                <c:pt idx="8">
                  <c:v>8229.6</c:v>
                </c:pt>
                <c:pt idx="9">
                  <c:v>9144</c:v>
                </c:pt>
                <c:pt idx="10">
                  <c:v>10058.4</c:v>
                </c:pt>
                <c:pt idx="11">
                  <c:v>10972.8</c:v>
                </c:pt>
                <c:pt idx="12">
                  <c:v>11887.199999999999</c:v>
                </c:pt>
                <c:pt idx="13">
                  <c:v>12801.6</c:v>
                </c:pt>
                <c:pt idx="14">
                  <c:v>13716</c:v>
                </c:pt>
                <c:pt idx="15">
                  <c:v>14630.4</c:v>
                </c:pt>
                <c:pt idx="16">
                  <c:v>15544.8</c:v>
                </c:pt>
              </c:numCache>
            </c:numRef>
          </c:xVal>
          <c:yVal>
            <c:numRef>
              <c:f>'LOW meter'!$D$44:$D$60</c:f>
              <c:numCache>
                <c:formatCode>General</c:formatCode>
                <c:ptCount val="17"/>
                <c:pt idx="0">
                  <c:v>0.3</c:v>
                </c:pt>
                <c:pt idx="1">
                  <c:v>0.8</c:v>
                </c:pt>
                <c:pt idx="2">
                  <c:v>1.3</c:v>
                </c:pt>
                <c:pt idx="3">
                  <c:v>1.9</c:v>
                </c:pt>
                <c:pt idx="4">
                  <c:v>2.6</c:v>
                </c:pt>
                <c:pt idx="5">
                  <c:v>3.6</c:v>
                </c:pt>
                <c:pt idx="6">
                  <c:v>4.8</c:v>
                </c:pt>
                <c:pt idx="7">
                  <c:v>6.3</c:v>
                </c:pt>
                <c:pt idx="8">
                  <c:v>8</c:v>
                </c:pt>
                <c:pt idx="9">
                  <c:v>10.1</c:v>
                </c:pt>
                <c:pt idx="10">
                  <c:v>12.3</c:v>
                </c:pt>
                <c:pt idx="11">
                  <c:v>14.9</c:v>
                </c:pt>
                <c:pt idx="12">
                  <c:v>17.8</c:v>
                </c:pt>
                <c:pt idx="13">
                  <c:v>21</c:v>
                </c:pt>
                <c:pt idx="14">
                  <c:v>24.8</c:v>
                </c:pt>
                <c:pt idx="15">
                  <c:v>29.4</c:v>
                </c:pt>
                <c:pt idx="16">
                  <c:v>35.9</c:v>
                </c:pt>
              </c:numCache>
            </c:numRef>
          </c:yVal>
        </c:ser>
        <c:axId val="82055168"/>
        <c:axId val="82056704"/>
      </c:scatterChart>
      <c:valAx>
        <c:axId val="82055168"/>
        <c:scaling>
          <c:orientation val="minMax"/>
        </c:scaling>
        <c:axPos val="b"/>
        <c:numFmt formatCode="General" sourceLinked="1"/>
        <c:tickLblPos val="nextTo"/>
        <c:crossAx val="82056704"/>
        <c:crosses val="autoZero"/>
        <c:crossBetween val="midCat"/>
      </c:valAx>
      <c:valAx>
        <c:axId val="82056704"/>
        <c:scaling>
          <c:orientation val="minMax"/>
        </c:scaling>
        <c:axPos val="l"/>
        <c:majorGridlines/>
        <c:numFmt formatCode="General" sourceLinked="1"/>
        <c:tickLblPos val="nextTo"/>
        <c:crossAx val="820551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705555555555722"/>
          <c:y val="0.60835447652376995"/>
          <c:w val="0.23850000000000021"/>
          <c:h val="0.16743438320210041"/>
        </c:manualLayout>
      </c:layout>
    </c:legend>
    <c:plotVisOnly val="1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jarak-&gt;</a:t>
            </a:r>
            <a:r>
              <a:rPr lang="en-US" baseline="0"/>
              <a:t> </a:t>
            </a:r>
            <a:r>
              <a:rPr lang="en-US"/>
              <a:t>tertinggi</a:t>
            </a:r>
          </a:p>
        </c:rich>
      </c:tx>
      <c:layout>
        <c:manualLayout>
          <c:xMode val="edge"/>
          <c:yMode val="edge"/>
          <c:x val="0.33535632183908243"/>
          <c:y val="1.5369836695485159E-2"/>
        </c:manualLayout>
      </c:layout>
    </c:title>
    <c:plotArea>
      <c:layout>
        <c:manualLayout>
          <c:layoutTarget val="inner"/>
          <c:xMode val="edge"/>
          <c:yMode val="edge"/>
          <c:x val="0.11265507436570428"/>
          <c:y val="0.19480351414406533"/>
          <c:w val="0.81779154555420663"/>
          <c:h val="0.73071959755030791"/>
        </c:manualLayout>
      </c:layout>
      <c:scatterChart>
        <c:scatterStyle val="smoothMarker"/>
        <c:ser>
          <c:idx val="0"/>
          <c:order val="0"/>
          <c:tx>
            <c:v>tertinggi</c:v>
          </c:tx>
          <c:trendline>
            <c:trendlineType val="poly"/>
            <c:order val="4"/>
            <c:forward val="10"/>
            <c:dispRSqr val="1"/>
            <c:dispEq val="1"/>
            <c:trendlineLbl>
              <c:layout>
                <c:manualLayout>
                  <c:x val="0.1006112770386462"/>
                  <c:y val="-6.031753235456537E-2"/>
                </c:manualLayout>
              </c:layout>
              <c:numFmt formatCode="@" sourceLinked="0"/>
            </c:trendlineLbl>
          </c:trendline>
          <c:xVal>
            <c:numRef>
              <c:f>'LOW meter'!$C$66:$C$82</c:f>
              <c:numCache>
                <c:formatCode>General</c:formatCode>
                <c:ptCount val="17"/>
                <c:pt idx="0">
                  <c:v>914.4</c:v>
                </c:pt>
                <c:pt idx="1">
                  <c:v>1828.8</c:v>
                </c:pt>
                <c:pt idx="2">
                  <c:v>2743.2</c:v>
                </c:pt>
                <c:pt idx="3">
                  <c:v>3657.6</c:v>
                </c:pt>
                <c:pt idx="4">
                  <c:v>4572</c:v>
                </c:pt>
                <c:pt idx="5">
                  <c:v>5486.4</c:v>
                </c:pt>
                <c:pt idx="6">
                  <c:v>6400.8</c:v>
                </c:pt>
                <c:pt idx="7">
                  <c:v>7315.2</c:v>
                </c:pt>
                <c:pt idx="8">
                  <c:v>8229.6</c:v>
                </c:pt>
                <c:pt idx="9">
                  <c:v>9144</c:v>
                </c:pt>
                <c:pt idx="10">
                  <c:v>10058.4</c:v>
                </c:pt>
                <c:pt idx="11">
                  <c:v>10972.8</c:v>
                </c:pt>
                <c:pt idx="12">
                  <c:v>11887.199999999999</c:v>
                </c:pt>
                <c:pt idx="13">
                  <c:v>12801.6</c:v>
                </c:pt>
                <c:pt idx="14">
                  <c:v>13716</c:v>
                </c:pt>
                <c:pt idx="15">
                  <c:v>14630.4</c:v>
                </c:pt>
                <c:pt idx="16">
                  <c:v>15544.8</c:v>
                </c:pt>
              </c:numCache>
            </c:numRef>
          </c:xVal>
          <c:yVal>
            <c:numRef>
              <c:f>'LOW meter'!$E$66:$E$82</c:f>
              <c:numCache>
                <c:formatCode>General</c:formatCode>
                <c:ptCount val="17"/>
                <c:pt idx="0">
                  <c:v>1.524</c:v>
                </c:pt>
                <c:pt idx="1">
                  <c:v>6.7056000000000004</c:v>
                </c:pt>
                <c:pt idx="2">
                  <c:v>17.3736</c:v>
                </c:pt>
                <c:pt idx="3">
                  <c:v>35.9664</c:v>
                </c:pt>
                <c:pt idx="4">
                  <c:v>66.141599999999997</c:v>
                </c:pt>
                <c:pt idx="5">
                  <c:v>113.08080000000001</c:v>
                </c:pt>
                <c:pt idx="6">
                  <c:v>186.8424</c:v>
                </c:pt>
                <c:pt idx="7">
                  <c:v>294.13200000000001</c:v>
                </c:pt>
                <c:pt idx="8">
                  <c:v>439.82640000000004</c:v>
                </c:pt>
                <c:pt idx="9">
                  <c:v>626.97360000000003</c:v>
                </c:pt>
                <c:pt idx="10">
                  <c:v>860.14560000000006</c:v>
                </c:pt>
                <c:pt idx="11">
                  <c:v>1146.9624000000001</c:v>
                </c:pt>
                <c:pt idx="12">
                  <c:v>1496.2632000000001</c:v>
                </c:pt>
                <c:pt idx="13">
                  <c:v>1924.5072</c:v>
                </c:pt>
                <c:pt idx="14">
                  <c:v>2458.8216000000002</c:v>
                </c:pt>
                <c:pt idx="15">
                  <c:v>3162.9096</c:v>
                </c:pt>
                <c:pt idx="16">
                  <c:v>4212.9456</c:v>
                </c:pt>
              </c:numCache>
            </c:numRef>
          </c:yVal>
          <c:smooth val="1"/>
        </c:ser>
        <c:axId val="82077568"/>
        <c:axId val="82079104"/>
      </c:scatterChart>
      <c:valAx>
        <c:axId val="82077568"/>
        <c:scaling>
          <c:orientation val="minMax"/>
        </c:scaling>
        <c:axPos val="b"/>
        <c:numFmt formatCode="General" sourceLinked="1"/>
        <c:tickLblPos val="nextTo"/>
        <c:crossAx val="82079104"/>
        <c:crosses val="autoZero"/>
        <c:crossBetween val="midCat"/>
      </c:valAx>
      <c:valAx>
        <c:axId val="82079104"/>
        <c:scaling>
          <c:orientation val="minMax"/>
        </c:scaling>
        <c:axPos val="l"/>
        <c:majorGridlines/>
        <c:numFmt formatCode="General" sourceLinked="1"/>
        <c:tickLblPos val="nextTo"/>
        <c:crossAx val="820775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966666666666667"/>
          <c:y val="0.6407618839311775"/>
          <c:w val="0.25700000000000001"/>
          <c:h val="0.16743438320210041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235766451763545"/>
          <c:y val="4.2689663792025996E-2"/>
          <c:w val="0.71373243912880135"/>
          <c:h val="0.87247205210460088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4"/>
            <c:forward val="10"/>
            <c:dispRSqr val="1"/>
            <c:dispEq val="1"/>
            <c:trendlineLbl>
              <c:numFmt formatCode="@" sourceLinked="0"/>
            </c:trendlineLbl>
          </c:trendline>
          <c:xVal>
            <c:numRef>
              <c:f>'LOW meter'!$Q$4:$Q$20</c:f>
              <c:numCache>
                <c:formatCode>General</c:formatCode>
                <c:ptCount val="17"/>
                <c:pt idx="0">
                  <c:v>1.1000000000000001</c:v>
                </c:pt>
                <c:pt idx="1">
                  <c:v>2.2999999999999998</c:v>
                </c:pt>
                <c:pt idx="2">
                  <c:v>3.7</c:v>
                </c:pt>
                <c:pt idx="3">
                  <c:v>5.4</c:v>
                </c:pt>
                <c:pt idx="4">
                  <c:v>7.3</c:v>
                </c:pt>
                <c:pt idx="5">
                  <c:v>9.6</c:v>
                </c:pt>
                <c:pt idx="6">
                  <c:v>12.2</c:v>
                </c:pt>
                <c:pt idx="7">
                  <c:v>15.2</c:v>
                </c:pt>
                <c:pt idx="8">
                  <c:v>18.3</c:v>
                </c:pt>
                <c:pt idx="9">
                  <c:v>21.5</c:v>
                </c:pt>
                <c:pt idx="10">
                  <c:v>25</c:v>
                </c:pt>
                <c:pt idx="11">
                  <c:v>28.8</c:v>
                </c:pt>
                <c:pt idx="12">
                  <c:v>32.799999999999997</c:v>
                </c:pt>
                <c:pt idx="13">
                  <c:v>37.200000000000003</c:v>
                </c:pt>
                <c:pt idx="14">
                  <c:v>42.2</c:v>
                </c:pt>
                <c:pt idx="15">
                  <c:v>48</c:v>
                </c:pt>
                <c:pt idx="16">
                  <c:v>55.8</c:v>
                </c:pt>
              </c:numCache>
            </c:numRef>
          </c:xVal>
          <c:yVal>
            <c:numRef>
              <c:f>'LOW meter'!$R$4:$R$20</c:f>
              <c:numCache>
                <c:formatCode>General</c:formatCode>
                <c:ptCount val="17"/>
                <c:pt idx="0">
                  <c:v>914.4</c:v>
                </c:pt>
                <c:pt idx="1">
                  <c:v>1828.8</c:v>
                </c:pt>
                <c:pt idx="2">
                  <c:v>2743.2</c:v>
                </c:pt>
                <c:pt idx="3">
                  <c:v>3657.6</c:v>
                </c:pt>
                <c:pt idx="4">
                  <c:v>4572</c:v>
                </c:pt>
                <c:pt idx="5">
                  <c:v>5486.4</c:v>
                </c:pt>
                <c:pt idx="6">
                  <c:v>6400.8</c:v>
                </c:pt>
                <c:pt idx="7">
                  <c:v>7315.2</c:v>
                </c:pt>
                <c:pt idx="8">
                  <c:v>8229.6</c:v>
                </c:pt>
                <c:pt idx="9">
                  <c:v>9144</c:v>
                </c:pt>
                <c:pt idx="10">
                  <c:v>10058.4</c:v>
                </c:pt>
                <c:pt idx="11">
                  <c:v>10972.8</c:v>
                </c:pt>
                <c:pt idx="12">
                  <c:v>11887.199999999999</c:v>
                </c:pt>
                <c:pt idx="13">
                  <c:v>12801.6</c:v>
                </c:pt>
                <c:pt idx="14">
                  <c:v>13716</c:v>
                </c:pt>
                <c:pt idx="15">
                  <c:v>14630.4</c:v>
                </c:pt>
                <c:pt idx="16">
                  <c:v>15544.8</c:v>
                </c:pt>
              </c:numCache>
            </c:numRef>
          </c:yVal>
        </c:ser>
        <c:axId val="82116608"/>
        <c:axId val="82118144"/>
      </c:scatterChart>
      <c:valAx>
        <c:axId val="82116608"/>
        <c:scaling>
          <c:orientation val="minMax"/>
        </c:scaling>
        <c:axPos val="b"/>
        <c:numFmt formatCode="General" sourceLinked="1"/>
        <c:tickLblPos val="nextTo"/>
        <c:crossAx val="82118144"/>
        <c:crosses val="autoZero"/>
        <c:crossBetween val="midCat"/>
      </c:valAx>
      <c:valAx>
        <c:axId val="82118144"/>
        <c:scaling>
          <c:orientation val="minMax"/>
        </c:scaling>
        <c:axPos val="l"/>
        <c:majorGridlines/>
        <c:numFmt formatCode="General" sourceLinked="1"/>
        <c:tickLblPos val="nextTo"/>
        <c:crossAx val="8211660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Speed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8.3273995268045298E-2"/>
          <c:y val="0.17297315711642319"/>
          <c:w val="0.84791746750446062"/>
          <c:h val="0.67768935962651056"/>
        </c:manualLayout>
      </c:layout>
      <c:scatterChart>
        <c:scatterStyle val="lineMarker"/>
        <c:ser>
          <c:idx val="0"/>
          <c:order val="0"/>
          <c:tx>
            <c:v>waktu</c:v>
          </c:tx>
          <c:spPr>
            <a:ln w="28575">
              <a:noFill/>
            </a:ln>
          </c:spPr>
          <c:trendline>
            <c:trendlineType val="poly"/>
            <c:order val="4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'LOW meter'!$C$24:$C$40</c:f>
              <c:numCache>
                <c:formatCode>General</c:formatCode>
                <c:ptCount val="17"/>
                <c:pt idx="0">
                  <c:v>914.4</c:v>
                </c:pt>
                <c:pt idx="1">
                  <c:v>1828.8</c:v>
                </c:pt>
                <c:pt idx="2">
                  <c:v>2743.2</c:v>
                </c:pt>
                <c:pt idx="3">
                  <c:v>3657.6</c:v>
                </c:pt>
                <c:pt idx="4">
                  <c:v>4572</c:v>
                </c:pt>
                <c:pt idx="5">
                  <c:v>5486.4</c:v>
                </c:pt>
                <c:pt idx="6">
                  <c:v>6400.8</c:v>
                </c:pt>
                <c:pt idx="7">
                  <c:v>7315.2</c:v>
                </c:pt>
                <c:pt idx="8">
                  <c:v>8229.6</c:v>
                </c:pt>
                <c:pt idx="9">
                  <c:v>9144</c:v>
                </c:pt>
                <c:pt idx="10">
                  <c:v>10058.4</c:v>
                </c:pt>
                <c:pt idx="11">
                  <c:v>10972.8</c:v>
                </c:pt>
                <c:pt idx="12">
                  <c:v>11887.199999999999</c:v>
                </c:pt>
                <c:pt idx="13">
                  <c:v>12801.6</c:v>
                </c:pt>
                <c:pt idx="14">
                  <c:v>13716</c:v>
                </c:pt>
                <c:pt idx="15">
                  <c:v>14630.4</c:v>
                </c:pt>
                <c:pt idx="16">
                  <c:v>15544.8</c:v>
                </c:pt>
              </c:numCache>
            </c:numRef>
          </c:xVal>
          <c:yVal>
            <c:numRef>
              <c:f>'LOW meter'!$E$24:$E$40</c:f>
              <c:numCache>
                <c:formatCode>General</c:formatCode>
                <c:ptCount val="17"/>
                <c:pt idx="0">
                  <c:v>831.27272727272714</c:v>
                </c:pt>
                <c:pt idx="1">
                  <c:v>795.13043478260875</c:v>
                </c:pt>
                <c:pt idx="2">
                  <c:v>741.4054054054053</c:v>
                </c:pt>
                <c:pt idx="3">
                  <c:v>677.33333333333326</c:v>
                </c:pt>
                <c:pt idx="4">
                  <c:v>626.30136986301375</c:v>
                </c:pt>
                <c:pt idx="5">
                  <c:v>571.5</c:v>
                </c:pt>
                <c:pt idx="6">
                  <c:v>524.65573770491812</c:v>
                </c:pt>
                <c:pt idx="7">
                  <c:v>481.26315789473688</c:v>
                </c:pt>
                <c:pt idx="8">
                  <c:v>449.70491803278691</c:v>
                </c:pt>
                <c:pt idx="9">
                  <c:v>425.30232558139534</c:v>
                </c:pt>
                <c:pt idx="10">
                  <c:v>402.33600000000001</c:v>
                </c:pt>
                <c:pt idx="11">
                  <c:v>380.99999999999994</c:v>
                </c:pt>
                <c:pt idx="12">
                  <c:v>362.41463414634148</c:v>
                </c:pt>
                <c:pt idx="13">
                  <c:v>344.12903225806451</c:v>
                </c:pt>
                <c:pt idx="14">
                  <c:v>325.02369668246445</c:v>
                </c:pt>
                <c:pt idx="15">
                  <c:v>304.8</c:v>
                </c:pt>
                <c:pt idx="16">
                  <c:v>278.58064516129031</c:v>
                </c:pt>
              </c:numCache>
            </c:numRef>
          </c:yVal>
        </c:ser>
        <c:axId val="82159104"/>
        <c:axId val="82160640"/>
      </c:scatterChart>
      <c:valAx>
        <c:axId val="82159104"/>
        <c:scaling>
          <c:orientation val="minMax"/>
        </c:scaling>
        <c:axPos val="b"/>
        <c:numFmt formatCode="General" sourceLinked="1"/>
        <c:tickLblPos val="nextTo"/>
        <c:crossAx val="82160640"/>
        <c:crosses val="autoZero"/>
        <c:crossBetween val="midCat"/>
      </c:valAx>
      <c:valAx>
        <c:axId val="82160640"/>
        <c:scaling>
          <c:orientation val="minMax"/>
        </c:scaling>
        <c:axPos val="l"/>
        <c:majorGridlines/>
        <c:numFmt formatCode="General" sourceLinked="1"/>
        <c:tickLblPos val="nextTo"/>
        <c:crossAx val="82159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839591968812446"/>
          <c:y val="0.18845330174436245"/>
          <c:w val="0.23931553730321697"/>
          <c:h val="0.16627966331794733"/>
        </c:manualLayout>
      </c:layout>
    </c:legend>
    <c:plotVisOnly val="1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>
        <c:manualLayout>
          <c:layoutTarget val="inner"/>
          <c:xMode val="edge"/>
          <c:yMode val="edge"/>
          <c:x val="0.12700299727669739"/>
          <c:y val="0.16549679077725954"/>
          <c:w val="0.7884542929002345"/>
          <c:h val="0.7067515233162226"/>
        </c:manualLayout>
      </c:layout>
      <c:scatterChart>
        <c:scatterStyle val="lineMarker"/>
        <c:ser>
          <c:idx val="0"/>
          <c:order val="0"/>
          <c:tx>
            <c:v>elevasi -&gt; jarak</c:v>
          </c:tx>
          <c:spPr>
            <a:ln w="28575">
              <a:noFill/>
            </a:ln>
          </c:spPr>
          <c:trendline>
            <c:spPr>
              <a:ln>
                <a:solidFill>
                  <a:srgbClr val="4F81BD"/>
                </a:solidFill>
              </a:ln>
            </c:spPr>
            <c:trendlineType val="poly"/>
            <c:order val="4"/>
            <c:forward val="10"/>
            <c:dispRSqr val="1"/>
            <c:dispEq val="1"/>
            <c:trendlineLbl>
              <c:layout>
                <c:manualLayout>
                  <c:x val="-5.5708798404374817E-3"/>
                  <c:y val="0.15478936814314181"/>
                </c:manualLayout>
              </c:layout>
              <c:numFmt formatCode="General" sourceLinked="0"/>
            </c:trendlineLbl>
          </c:trendline>
          <c:xVal>
            <c:numRef>
              <c:f>'LOW meter'!$Q$44:$Q$60</c:f>
              <c:numCache>
                <c:formatCode>General</c:formatCode>
                <c:ptCount val="17"/>
                <c:pt idx="0">
                  <c:v>0.3</c:v>
                </c:pt>
                <c:pt idx="1">
                  <c:v>0.8</c:v>
                </c:pt>
                <c:pt idx="2">
                  <c:v>1.3</c:v>
                </c:pt>
                <c:pt idx="3">
                  <c:v>1.9</c:v>
                </c:pt>
                <c:pt idx="4">
                  <c:v>2.6</c:v>
                </c:pt>
                <c:pt idx="5">
                  <c:v>3.6</c:v>
                </c:pt>
                <c:pt idx="6">
                  <c:v>4.8</c:v>
                </c:pt>
                <c:pt idx="7">
                  <c:v>6.3</c:v>
                </c:pt>
                <c:pt idx="8">
                  <c:v>8</c:v>
                </c:pt>
                <c:pt idx="9">
                  <c:v>10.1</c:v>
                </c:pt>
                <c:pt idx="10">
                  <c:v>12.3</c:v>
                </c:pt>
                <c:pt idx="11">
                  <c:v>14.9</c:v>
                </c:pt>
                <c:pt idx="12">
                  <c:v>17.8</c:v>
                </c:pt>
                <c:pt idx="13">
                  <c:v>21</c:v>
                </c:pt>
                <c:pt idx="14">
                  <c:v>24.8</c:v>
                </c:pt>
                <c:pt idx="15">
                  <c:v>29.4</c:v>
                </c:pt>
                <c:pt idx="16">
                  <c:v>35.9</c:v>
                </c:pt>
              </c:numCache>
            </c:numRef>
          </c:xVal>
          <c:yVal>
            <c:numRef>
              <c:f>'LOW meter'!$R$44:$R$60</c:f>
              <c:numCache>
                <c:formatCode>General</c:formatCode>
                <c:ptCount val="17"/>
                <c:pt idx="0">
                  <c:v>914.4</c:v>
                </c:pt>
                <c:pt idx="1">
                  <c:v>1828.8</c:v>
                </c:pt>
                <c:pt idx="2">
                  <c:v>2743.2</c:v>
                </c:pt>
                <c:pt idx="3">
                  <c:v>3657.6</c:v>
                </c:pt>
                <c:pt idx="4">
                  <c:v>4572</c:v>
                </c:pt>
                <c:pt idx="5">
                  <c:v>5486.4</c:v>
                </c:pt>
                <c:pt idx="6">
                  <c:v>6400.8</c:v>
                </c:pt>
                <c:pt idx="7">
                  <c:v>7315.2</c:v>
                </c:pt>
                <c:pt idx="8">
                  <c:v>8229.6</c:v>
                </c:pt>
                <c:pt idx="9">
                  <c:v>9144</c:v>
                </c:pt>
                <c:pt idx="10">
                  <c:v>10058.4</c:v>
                </c:pt>
                <c:pt idx="11">
                  <c:v>10972.8</c:v>
                </c:pt>
                <c:pt idx="12">
                  <c:v>11887.199999999999</c:v>
                </c:pt>
                <c:pt idx="13">
                  <c:v>12801.6</c:v>
                </c:pt>
                <c:pt idx="14">
                  <c:v>13716</c:v>
                </c:pt>
                <c:pt idx="15">
                  <c:v>14630.4</c:v>
                </c:pt>
                <c:pt idx="16">
                  <c:v>15544.8</c:v>
                </c:pt>
              </c:numCache>
            </c:numRef>
          </c:yVal>
        </c:ser>
        <c:axId val="82181504"/>
        <c:axId val="82261120"/>
      </c:scatterChart>
      <c:valAx>
        <c:axId val="82181504"/>
        <c:scaling>
          <c:orientation val="minMax"/>
        </c:scaling>
        <c:axPos val="b"/>
        <c:numFmt formatCode="General" sourceLinked="1"/>
        <c:tickLblPos val="nextTo"/>
        <c:crossAx val="82261120"/>
        <c:crosses val="autoZero"/>
        <c:crossBetween val="midCat"/>
      </c:valAx>
      <c:valAx>
        <c:axId val="82261120"/>
        <c:scaling>
          <c:orientation val="minMax"/>
        </c:scaling>
        <c:axPos val="l"/>
        <c:majorGridlines/>
        <c:numFmt formatCode="General" sourceLinked="1"/>
        <c:tickLblPos val="nextTo"/>
        <c:crossAx val="8218150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waktu</c:v>
          </c:tx>
          <c:spPr>
            <a:ln w="28575">
              <a:noFill/>
            </a:ln>
          </c:spPr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0.10220673635307809"/>
                  <c:y val="3.2797900262467291E-3"/>
                </c:manualLayout>
              </c:layout>
              <c:numFmt formatCode="@" sourceLinked="0"/>
              <c:txPr>
                <a:bodyPr rot="0" vert="horz" anchor="ctr" anchorCtr="1"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'LOW meter'!$C$4:$C$20</c:f>
              <c:numCache>
                <c:formatCode>General</c:formatCode>
                <c:ptCount val="17"/>
                <c:pt idx="0">
                  <c:v>914.4</c:v>
                </c:pt>
                <c:pt idx="1">
                  <c:v>1828.8</c:v>
                </c:pt>
                <c:pt idx="2">
                  <c:v>2743.2</c:v>
                </c:pt>
                <c:pt idx="3">
                  <c:v>3657.6</c:v>
                </c:pt>
                <c:pt idx="4">
                  <c:v>4572</c:v>
                </c:pt>
                <c:pt idx="5">
                  <c:v>5486.4</c:v>
                </c:pt>
                <c:pt idx="6">
                  <c:v>6400.8</c:v>
                </c:pt>
                <c:pt idx="7">
                  <c:v>7315.2</c:v>
                </c:pt>
                <c:pt idx="8">
                  <c:v>8229.6</c:v>
                </c:pt>
                <c:pt idx="9">
                  <c:v>9144</c:v>
                </c:pt>
                <c:pt idx="10">
                  <c:v>10058.4</c:v>
                </c:pt>
                <c:pt idx="11">
                  <c:v>10972.8</c:v>
                </c:pt>
                <c:pt idx="12">
                  <c:v>11887.199999999999</c:v>
                </c:pt>
                <c:pt idx="13">
                  <c:v>12801.6</c:v>
                </c:pt>
                <c:pt idx="14">
                  <c:v>13716</c:v>
                </c:pt>
                <c:pt idx="15">
                  <c:v>14630.4</c:v>
                </c:pt>
                <c:pt idx="16">
                  <c:v>15544.8</c:v>
                </c:pt>
              </c:numCache>
            </c:numRef>
          </c:xVal>
          <c:yVal>
            <c:numRef>
              <c:f>'LOW meter'!$D$4:$D$20</c:f>
              <c:numCache>
                <c:formatCode>General</c:formatCode>
                <c:ptCount val="17"/>
                <c:pt idx="0">
                  <c:v>1.1000000000000001</c:v>
                </c:pt>
                <c:pt idx="1">
                  <c:v>2.2999999999999998</c:v>
                </c:pt>
                <c:pt idx="2">
                  <c:v>3.7</c:v>
                </c:pt>
                <c:pt idx="3">
                  <c:v>5.4</c:v>
                </c:pt>
                <c:pt idx="4">
                  <c:v>7.3</c:v>
                </c:pt>
                <c:pt idx="5">
                  <c:v>9.6</c:v>
                </c:pt>
                <c:pt idx="6">
                  <c:v>12.2</c:v>
                </c:pt>
                <c:pt idx="7">
                  <c:v>15.2</c:v>
                </c:pt>
                <c:pt idx="8">
                  <c:v>18.3</c:v>
                </c:pt>
                <c:pt idx="9">
                  <c:v>21.5</c:v>
                </c:pt>
                <c:pt idx="10">
                  <c:v>25</c:v>
                </c:pt>
                <c:pt idx="11">
                  <c:v>28.8</c:v>
                </c:pt>
                <c:pt idx="12">
                  <c:v>32.799999999999997</c:v>
                </c:pt>
                <c:pt idx="13">
                  <c:v>37.200000000000003</c:v>
                </c:pt>
                <c:pt idx="14">
                  <c:v>42.2</c:v>
                </c:pt>
                <c:pt idx="15">
                  <c:v>48</c:v>
                </c:pt>
                <c:pt idx="16">
                  <c:v>55.8</c:v>
                </c:pt>
              </c:numCache>
            </c:numRef>
          </c:yVal>
        </c:ser>
        <c:axId val="82283136"/>
        <c:axId val="82301312"/>
      </c:scatterChart>
      <c:valAx>
        <c:axId val="82283136"/>
        <c:scaling>
          <c:orientation val="minMax"/>
        </c:scaling>
        <c:axPos val="b"/>
        <c:numFmt formatCode="General" sourceLinked="1"/>
        <c:tickLblPos val="nextTo"/>
        <c:crossAx val="82301312"/>
        <c:crosses val="autoZero"/>
        <c:crossBetween val="midCat"/>
      </c:valAx>
      <c:valAx>
        <c:axId val="82301312"/>
        <c:scaling>
          <c:orientation val="minMax"/>
        </c:scaling>
        <c:axPos val="l"/>
        <c:majorGridlines/>
        <c:numFmt formatCode="General" sourceLinked="1"/>
        <c:tickLblPos val="nextTo"/>
        <c:crossAx val="8228313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evaluasi -&gt; </a:t>
            </a:r>
            <a:r>
              <a:rPr lang="en-US"/>
              <a:t>tertinggi </a:t>
            </a:r>
          </a:p>
        </c:rich>
      </c:tx>
    </c:title>
    <c:plotArea>
      <c:layout>
        <c:manualLayout>
          <c:layoutTarget val="inner"/>
          <c:xMode val="edge"/>
          <c:yMode val="edge"/>
          <c:x val="0.11265507436570428"/>
          <c:y val="0.19480351414406533"/>
          <c:w val="0.81779154555420663"/>
          <c:h val="0.73071959755030813"/>
        </c:manualLayout>
      </c:layout>
      <c:scatterChart>
        <c:scatterStyle val="smoothMarker"/>
        <c:ser>
          <c:idx val="0"/>
          <c:order val="0"/>
          <c:tx>
            <c:v>elevasi -&gt; tertinggi</c:v>
          </c:tx>
          <c:trendline>
            <c:trendlineType val="poly"/>
            <c:order val="4"/>
            <c:forward val="10"/>
            <c:dispRSqr val="1"/>
            <c:dispEq val="1"/>
            <c:trendlineLbl>
              <c:layout>
                <c:manualLayout>
                  <c:x val="5.3164087247714834E-2"/>
                  <c:y val="-3.8171655056086287E-2"/>
                </c:manualLayout>
              </c:layout>
              <c:numFmt formatCode="@" sourceLinked="0"/>
            </c:trendlineLbl>
          </c:trendline>
          <c:xVal>
            <c:numRef>
              <c:f>'LOW meter'!$Q$66:$Q$82</c:f>
              <c:numCache>
                <c:formatCode>General</c:formatCode>
                <c:ptCount val="17"/>
                <c:pt idx="0">
                  <c:v>0.3</c:v>
                </c:pt>
                <c:pt idx="1">
                  <c:v>0.8</c:v>
                </c:pt>
                <c:pt idx="2">
                  <c:v>1.3</c:v>
                </c:pt>
                <c:pt idx="3">
                  <c:v>1.9</c:v>
                </c:pt>
                <c:pt idx="4">
                  <c:v>2.6</c:v>
                </c:pt>
                <c:pt idx="5">
                  <c:v>3.6</c:v>
                </c:pt>
                <c:pt idx="6">
                  <c:v>4.8</c:v>
                </c:pt>
                <c:pt idx="7">
                  <c:v>6.3</c:v>
                </c:pt>
                <c:pt idx="8">
                  <c:v>8</c:v>
                </c:pt>
                <c:pt idx="9">
                  <c:v>10.1</c:v>
                </c:pt>
                <c:pt idx="10">
                  <c:v>12.3</c:v>
                </c:pt>
                <c:pt idx="11">
                  <c:v>14.9</c:v>
                </c:pt>
                <c:pt idx="12">
                  <c:v>17.8</c:v>
                </c:pt>
                <c:pt idx="13">
                  <c:v>21</c:v>
                </c:pt>
                <c:pt idx="14">
                  <c:v>24.8</c:v>
                </c:pt>
                <c:pt idx="15">
                  <c:v>29.4</c:v>
                </c:pt>
                <c:pt idx="16">
                  <c:v>35.9</c:v>
                </c:pt>
              </c:numCache>
            </c:numRef>
          </c:xVal>
          <c:yVal>
            <c:numRef>
              <c:f>'LOW meter'!$R$66:$R$82</c:f>
              <c:numCache>
                <c:formatCode>General</c:formatCode>
                <c:ptCount val="17"/>
                <c:pt idx="0">
                  <c:v>1.524</c:v>
                </c:pt>
                <c:pt idx="1">
                  <c:v>6.7056000000000004</c:v>
                </c:pt>
                <c:pt idx="2">
                  <c:v>17.3736</c:v>
                </c:pt>
                <c:pt idx="3">
                  <c:v>35.9664</c:v>
                </c:pt>
                <c:pt idx="4">
                  <c:v>66.141599999999997</c:v>
                </c:pt>
                <c:pt idx="5">
                  <c:v>113.08080000000001</c:v>
                </c:pt>
                <c:pt idx="6">
                  <c:v>186.8424</c:v>
                </c:pt>
                <c:pt idx="7">
                  <c:v>294.13200000000001</c:v>
                </c:pt>
                <c:pt idx="8">
                  <c:v>439.82640000000004</c:v>
                </c:pt>
                <c:pt idx="9">
                  <c:v>626.97360000000003</c:v>
                </c:pt>
                <c:pt idx="10">
                  <c:v>860.14560000000006</c:v>
                </c:pt>
                <c:pt idx="11">
                  <c:v>1146.9624000000001</c:v>
                </c:pt>
                <c:pt idx="12">
                  <c:v>1496.2632000000001</c:v>
                </c:pt>
                <c:pt idx="13">
                  <c:v>1924.5072</c:v>
                </c:pt>
                <c:pt idx="14">
                  <c:v>2458.8216000000002</c:v>
                </c:pt>
                <c:pt idx="15">
                  <c:v>3162.9096</c:v>
                </c:pt>
                <c:pt idx="16">
                  <c:v>4212.9456</c:v>
                </c:pt>
              </c:numCache>
            </c:numRef>
          </c:yVal>
          <c:smooth val="1"/>
        </c:ser>
        <c:axId val="82308480"/>
        <c:axId val="82322560"/>
      </c:scatterChart>
      <c:valAx>
        <c:axId val="82308480"/>
        <c:scaling>
          <c:orientation val="minMax"/>
        </c:scaling>
        <c:axPos val="b"/>
        <c:numFmt formatCode="General" sourceLinked="1"/>
        <c:tickLblPos val="nextTo"/>
        <c:crossAx val="82322560"/>
        <c:crosses val="autoZero"/>
        <c:crossBetween val="midCat"/>
      </c:valAx>
      <c:valAx>
        <c:axId val="82322560"/>
        <c:scaling>
          <c:orientation val="minMax"/>
        </c:scaling>
        <c:axPos val="l"/>
        <c:majorGridlines/>
        <c:numFmt formatCode="General" sourceLinked="1"/>
        <c:tickLblPos val="nextTo"/>
        <c:crossAx val="823084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966666666666667"/>
          <c:y val="0.64076188393117783"/>
          <c:w val="0.25700000000000001"/>
          <c:h val="0.16743438320210047"/>
        </c:manualLayout>
      </c:layout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(ds / dt)/dt</a:t>
            </a:r>
          </a:p>
        </c:rich>
      </c:tx>
    </c:title>
    <c:plotArea>
      <c:layout>
        <c:manualLayout>
          <c:layoutTarget val="inner"/>
          <c:xMode val="edge"/>
          <c:yMode val="edge"/>
          <c:x val="9.3691951872352727E-2"/>
          <c:y val="0.17754244327054094"/>
          <c:w val="0.75896156544788362"/>
          <c:h val="0.68540748862088463"/>
        </c:manualLayout>
      </c:layout>
      <c:scatterChart>
        <c:scatterStyle val="lineMarker"/>
        <c:ser>
          <c:idx val="1"/>
          <c:order val="0"/>
          <c:tx>
            <c:v>speed</c:v>
          </c:tx>
          <c:trendline>
            <c:trendlineType val="power"/>
            <c:forward val="5"/>
            <c:dispRSqr val="1"/>
            <c:dispEq val="1"/>
            <c:trendlineLbl>
              <c:layout>
                <c:manualLayout>
                  <c:x val="0.14489613947957142"/>
                  <c:y val="-8.4585279014036549E-2"/>
                </c:manualLayout>
              </c:layout>
              <c:numFmt formatCode="@" sourceLinked="0"/>
            </c:trendlineLbl>
          </c:trendline>
          <c:xVal>
            <c:numRef>
              <c:f>'gerak (low)'!$D$121:$D$136</c:f>
              <c:numCache>
                <c:formatCode>General</c:formatCode>
                <c:ptCount val="16"/>
                <c:pt idx="0">
                  <c:v>1.1999999999999997</c:v>
                </c:pt>
                <c:pt idx="1">
                  <c:v>1.4000000000000004</c:v>
                </c:pt>
                <c:pt idx="2">
                  <c:v>1.7000000000000002</c:v>
                </c:pt>
                <c:pt idx="3">
                  <c:v>1.8999999999999995</c:v>
                </c:pt>
                <c:pt idx="4">
                  <c:v>2.2999999999999998</c:v>
                </c:pt>
                <c:pt idx="5">
                  <c:v>2.5999999999999996</c:v>
                </c:pt>
                <c:pt idx="6">
                  <c:v>3</c:v>
                </c:pt>
                <c:pt idx="7">
                  <c:v>3.1000000000000014</c:v>
                </c:pt>
                <c:pt idx="8">
                  <c:v>3.1999999999999993</c:v>
                </c:pt>
                <c:pt idx="9">
                  <c:v>3.5</c:v>
                </c:pt>
                <c:pt idx="10">
                  <c:v>3.8000000000000007</c:v>
                </c:pt>
                <c:pt idx="11">
                  <c:v>3.9999999999999964</c:v>
                </c:pt>
                <c:pt idx="12">
                  <c:v>4.4000000000000057</c:v>
                </c:pt>
                <c:pt idx="13">
                  <c:v>5</c:v>
                </c:pt>
                <c:pt idx="14">
                  <c:v>5.7999999999999972</c:v>
                </c:pt>
                <c:pt idx="15">
                  <c:v>7.7999999999999972</c:v>
                </c:pt>
              </c:numCache>
            </c:numRef>
          </c:xVal>
          <c:yVal>
            <c:numRef>
              <c:f>'gerak (low)'!$F$121:$F$136</c:f>
              <c:numCache>
                <c:formatCode>General</c:formatCode>
                <c:ptCount val="16"/>
                <c:pt idx="0">
                  <c:v>762.00000000000011</c:v>
                </c:pt>
                <c:pt idx="1">
                  <c:v>653.14285714285688</c:v>
                </c:pt>
                <c:pt idx="2">
                  <c:v>555.52941176470586</c:v>
                </c:pt>
                <c:pt idx="3">
                  <c:v>465.47368421052647</c:v>
                </c:pt>
                <c:pt idx="4">
                  <c:v>397.5652173913042</c:v>
                </c:pt>
                <c:pt idx="5">
                  <c:v>351.69230769230796</c:v>
                </c:pt>
                <c:pt idx="6">
                  <c:v>304.7999999999999</c:v>
                </c:pt>
                <c:pt idx="7">
                  <c:v>298.19354838709683</c:v>
                </c:pt>
                <c:pt idx="8">
                  <c:v>282.62499999999994</c:v>
                </c:pt>
                <c:pt idx="9">
                  <c:v>261.25714285714275</c:v>
                </c:pt>
                <c:pt idx="10">
                  <c:v>240.63157894736827</c:v>
                </c:pt>
                <c:pt idx="11">
                  <c:v>228.60000000000011</c:v>
                </c:pt>
                <c:pt idx="12">
                  <c:v>207.81818181818187</c:v>
                </c:pt>
                <c:pt idx="13">
                  <c:v>182.87999999999994</c:v>
                </c:pt>
                <c:pt idx="14">
                  <c:v>157.65517241379311</c:v>
                </c:pt>
                <c:pt idx="15">
                  <c:v>117.23076923076923</c:v>
                </c:pt>
              </c:numCache>
            </c:numRef>
          </c:yVal>
        </c:ser>
        <c:axId val="82393344"/>
        <c:axId val="82403328"/>
      </c:scatterChart>
      <c:valAx>
        <c:axId val="82393344"/>
        <c:scaling>
          <c:orientation val="minMax"/>
        </c:scaling>
        <c:axPos val="b"/>
        <c:numFmt formatCode="General" sourceLinked="1"/>
        <c:tickLblPos val="nextTo"/>
        <c:crossAx val="82403328"/>
        <c:crosses val="autoZero"/>
        <c:crossBetween val="midCat"/>
      </c:valAx>
      <c:valAx>
        <c:axId val="82403328"/>
        <c:scaling>
          <c:orientation val="minMax"/>
        </c:scaling>
        <c:axPos val="l"/>
        <c:majorGridlines/>
        <c:numFmt formatCode="General" sourceLinked="1"/>
        <c:tickLblPos val="nextTo"/>
        <c:crossAx val="8239334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time -&gt; speed</a:t>
            </a:r>
          </a:p>
        </c:rich>
      </c:tx>
    </c:title>
    <c:plotArea>
      <c:layout>
        <c:manualLayout>
          <c:layoutTarget val="inner"/>
          <c:xMode val="edge"/>
          <c:yMode val="edge"/>
          <c:x val="0.10025204988911272"/>
          <c:y val="0.11069160771147271"/>
          <c:w val="0.81083792650918862"/>
          <c:h val="0.8064628900554095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5"/>
            <c:forward val="10"/>
            <c:backward val="1"/>
            <c:dispRSqr val="1"/>
            <c:dispEq val="1"/>
            <c:trendlineLbl>
              <c:layout>
                <c:manualLayout>
                  <c:x val="0.16442410323709541"/>
                  <c:y val="-0.60623760571595064"/>
                </c:manualLayout>
              </c:layout>
              <c:numFmt formatCode="@" sourceLinked="0"/>
            </c:trendlineLbl>
          </c:trendline>
          <c:xVal>
            <c:numRef>
              <c:f>'gerak (low)'!$B$120:$B$136</c:f>
              <c:numCache>
                <c:formatCode>General</c:formatCode>
                <c:ptCount val="17"/>
                <c:pt idx="0">
                  <c:v>0</c:v>
                </c:pt>
                <c:pt idx="1">
                  <c:v>1.1000000000000001</c:v>
                </c:pt>
                <c:pt idx="2">
                  <c:v>2.2999999999999998</c:v>
                </c:pt>
                <c:pt idx="3">
                  <c:v>3.7</c:v>
                </c:pt>
                <c:pt idx="4">
                  <c:v>5.4</c:v>
                </c:pt>
                <c:pt idx="5">
                  <c:v>7.3</c:v>
                </c:pt>
                <c:pt idx="6">
                  <c:v>9.6</c:v>
                </c:pt>
                <c:pt idx="7">
                  <c:v>12.2</c:v>
                </c:pt>
                <c:pt idx="8">
                  <c:v>15.2</c:v>
                </c:pt>
                <c:pt idx="9">
                  <c:v>18.3</c:v>
                </c:pt>
                <c:pt idx="10">
                  <c:v>21.5</c:v>
                </c:pt>
                <c:pt idx="11">
                  <c:v>25</c:v>
                </c:pt>
                <c:pt idx="12">
                  <c:v>28.8</c:v>
                </c:pt>
                <c:pt idx="13">
                  <c:v>32.799999999999997</c:v>
                </c:pt>
                <c:pt idx="14">
                  <c:v>37.200000000000003</c:v>
                </c:pt>
                <c:pt idx="15">
                  <c:v>42.2</c:v>
                </c:pt>
                <c:pt idx="16">
                  <c:v>48</c:v>
                </c:pt>
              </c:numCache>
            </c:numRef>
          </c:xVal>
          <c:yVal>
            <c:numRef>
              <c:f>'gerak (low)'!$F$120:$F$136</c:f>
              <c:numCache>
                <c:formatCode>General</c:formatCode>
                <c:ptCount val="17"/>
                <c:pt idx="0">
                  <c:v>831.27272727272714</c:v>
                </c:pt>
                <c:pt idx="1">
                  <c:v>762.00000000000011</c:v>
                </c:pt>
                <c:pt idx="2">
                  <c:v>653.14285714285688</c:v>
                </c:pt>
                <c:pt idx="3">
                  <c:v>555.52941176470586</c:v>
                </c:pt>
                <c:pt idx="4">
                  <c:v>465.47368421052647</c:v>
                </c:pt>
                <c:pt idx="5">
                  <c:v>397.5652173913042</c:v>
                </c:pt>
                <c:pt idx="6">
                  <c:v>351.69230769230796</c:v>
                </c:pt>
                <c:pt idx="7">
                  <c:v>304.7999999999999</c:v>
                </c:pt>
                <c:pt idx="8">
                  <c:v>298.19354838709683</c:v>
                </c:pt>
                <c:pt idx="9">
                  <c:v>282.62499999999994</c:v>
                </c:pt>
                <c:pt idx="10">
                  <c:v>261.25714285714275</c:v>
                </c:pt>
                <c:pt idx="11">
                  <c:v>240.63157894736827</c:v>
                </c:pt>
                <c:pt idx="12">
                  <c:v>228.60000000000011</c:v>
                </c:pt>
                <c:pt idx="13">
                  <c:v>207.81818181818187</c:v>
                </c:pt>
                <c:pt idx="14">
                  <c:v>182.87999999999994</c:v>
                </c:pt>
                <c:pt idx="15">
                  <c:v>157.65517241379311</c:v>
                </c:pt>
                <c:pt idx="16">
                  <c:v>117.23076923076923</c:v>
                </c:pt>
              </c:numCache>
            </c:numRef>
          </c:yVal>
        </c:ser>
        <c:axId val="82440576"/>
        <c:axId val="82442112"/>
      </c:scatterChart>
      <c:valAx>
        <c:axId val="82440576"/>
        <c:scaling>
          <c:orientation val="minMax"/>
        </c:scaling>
        <c:axPos val="b"/>
        <c:numFmt formatCode="General" sourceLinked="1"/>
        <c:tickLblPos val="nextTo"/>
        <c:crossAx val="82442112"/>
        <c:crosses val="autoZero"/>
        <c:crossBetween val="midCat"/>
      </c:valAx>
      <c:valAx>
        <c:axId val="82442112"/>
        <c:scaling>
          <c:orientation val="minMax"/>
        </c:scaling>
        <c:axPos val="l"/>
        <c:majorGridlines/>
        <c:numFmt formatCode="General" sourceLinked="1"/>
        <c:tickLblPos val="nextTo"/>
        <c:crossAx val="8244057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elevasi -&gt; jarak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700299727669739"/>
          <c:y val="0.16549679077725973"/>
          <c:w val="0.79615032969363653"/>
          <c:h val="0.7067515233162226"/>
        </c:manualLayout>
      </c:layout>
      <c:scatterChart>
        <c:scatterStyle val="lineMarker"/>
        <c:ser>
          <c:idx val="0"/>
          <c:order val="0"/>
          <c:tx>
            <c:v>elevation -&gt; range</c:v>
          </c:tx>
          <c:spPr>
            <a:ln w="28575">
              <a:noFill/>
            </a:ln>
          </c:spPr>
          <c:trendline>
            <c:spPr>
              <a:ln>
                <a:solidFill>
                  <a:srgbClr val="4F81BD"/>
                </a:solidFill>
              </a:ln>
            </c:spPr>
            <c:trendlineType val="poly"/>
            <c:order val="4"/>
            <c:forward val="10"/>
            <c:dispRSqr val="1"/>
            <c:dispEq val="1"/>
            <c:trendlineLbl>
              <c:layout>
                <c:manualLayout>
                  <c:x val="8.4487771451422188E-3"/>
                  <c:y val="-0.45126721657004726"/>
                </c:manualLayout>
              </c:layout>
              <c:numFmt formatCode="@" sourceLinked="0"/>
            </c:trendlineLbl>
          </c:trendline>
          <c:xVal>
            <c:numRef>
              <c:f>'gerak (low)'!$C$5:$C$22</c:f>
              <c:numCache>
                <c:formatCode>General</c:formatCode>
                <c:ptCount val="18"/>
                <c:pt idx="0">
                  <c:v>0</c:v>
                </c:pt>
                <c:pt idx="1">
                  <c:v>0.3</c:v>
                </c:pt>
                <c:pt idx="2">
                  <c:v>0.8</c:v>
                </c:pt>
                <c:pt idx="3">
                  <c:v>1.3</c:v>
                </c:pt>
                <c:pt idx="4">
                  <c:v>1.9</c:v>
                </c:pt>
                <c:pt idx="5">
                  <c:v>2.6</c:v>
                </c:pt>
                <c:pt idx="6">
                  <c:v>3.6</c:v>
                </c:pt>
                <c:pt idx="7">
                  <c:v>4.8</c:v>
                </c:pt>
                <c:pt idx="8">
                  <c:v>6.3</c:v>
                </c:pt>
                <c:pt idx="9">
                  <c:v>8</c:v>
                </c:pt>
                <c:pt idx="10">
                  <c:v>10.1</c:v>
                </c:pt>
                <c:pt idx="11">
                  <c:v>12.3</c:v>
                </c:pt>
                <c:pt idx="12">
                  <c:v>14.9</c:v>
                </c:pt>
                <c:pt idx="13">
                  <c:v>17.8</c:v>
                </c:pt>
                <c:pt idx="14">
                  <c:v>21</c:v>
                </c:pt>
                <c:pt idx="15">
                  <c:v>24.8</c:v>
                </c:pt>
                <c:pt idx="16">
                  <c:v>29.4</c:v>
                </c:pt>
                <c:pt idx="17">
                  <c:v>35.9</c:v>
                </c:pt>
              </c:numCache>
            </c:numRef>
          </c:xVal>
          <c:yVal>
            <c:numRef>
              <c:f>'gerak (low)'!$B$5:$B$22</c:f>
              <c:numCache>
                <c:formatCode>General</c:formatCode>
                <c:ptCount val="18"/>
                <c:pt idx="0">
                  <c:v>0</c:v>
                </c:pt>
                <c:pt idx="1">
                  <c:v>0.91439999999999999</c:v>
                </c:pt>
                <c:pt idx="2">
                  <c:v>1.8288</c:v>
                </c:pt>
                <c:pt idx="3">
                  <c:v>2.7431999999999999</c:v>
                </c:pt>
                <c:pt idx="4">
                  <c:v>3.6576</c:v>
                </c:pt>
                <c:pt idx="5">
                  <c:v>4.5720000000000001</c:v>
                </c:pt>
                <c:pt idx="6">
                  <c:v>5.4863999999999997</c:v>
                </c:pt>
                <c:pt idx="7">
                  <c:v>6.4008000000000003</c:v>
                </c:pt>
                <c:pt idx="8">
                  <c:v>7.3151999999999999</c:v>
                </c:pt>
                <c:pt idx="9">
                  <c:v>8.2296000000000014</c:v>
                </c:pt>
                <c:pt idx="10">
                  <c:v>9.1440000000000001</c:v>
                </c:pt>
                <c:pt idx="11">
                  <c:v>10.058400000000001</c:v>
                </c:pt>
                <c:pt idx="12">
                  <c:v>10.972799999999999</c:v>
                </c:pt>
                <c:pt idx="13">
                  <c:v>11.8872</c:v>
                </c:pt>
                <c:pt idx="14">
                  <c:v>12.801600000000001</c:v>
                </c:pt>
                <c:pt idx="15">
                  <c:v>13.716000000000001</c:v>
                </c:pt>
                <c:pt idx="16">
                  <c:v>14.6304</c:v>
                </c:pt>
                <c:pt idx="17">
                  <c:v>15.5448</c:v>
                </c:pt>
              </c:numCache>
            </c:numRef>
          </c:yVal>
        </c:ser>
        <c:axId val="82528512"/>
        <c:axId val="82542592"/>
      </c:scatterChart>
      <c:valAx>
        <c:axId val="82528512"/>
        <c:scaling>
          <c:orientation val="minMax"/>
        </c:scaling>
        <c:axPos val="b"/>
        <c:numFmt formatCode="General" sourceLinked="1"/>
        <c:tickLblPos val="nextTo"/>
        <c:crossAx val="82542592"/>
        <c:crosses val="autoZero"/>
        <c:crossBetween val="midCat"/>
      </c:valAx>
      <c:valAx>
        <c:axId val="82542592"/>
        <c:scaling>
          <c:orientation val="minMax"/>
        </c:scaling>
        <c:axPos val="l"/>
        <c:majorGridlines/>
        <c:numFmt formatCode="General" sourceLinked="1"/>
        <c:tickLblPos val="nextTo"/>
        <c:crossAx val="825285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062530062530193"/>
          <c:y val="0.70486528626532385"/>
          <c:w val="0.25319865319865331"/>
          <c:h val="0.16685496486028759"/>
        </c:manualLayout>
      </c:layout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waktu -&gt; jarak</a:t>
            </a:r>
          </a:p>
        </c:rich>
      </c:tx>
    </c:title>
    <c:plotArea>
      <c:layout>
        <c:manualLayout>
          <c:layoutTarget val="inner"/>
          <c:xMode val="edge"/>
          <c:yMode val="edge"/>
          <c:x val="0.13235766451763545"/>
          <c:y val="0.19822955365000738"/>
          <c:w val="0.76799593725285809"/>
          <c:h val="0.69304298387033958"/>
        </c:manualLayout>
      </c:layout>
      <c:scatterChart>
        <c:scatterStyle val="lineMarker"/>
        <c:ser>
          <c:idx val="0"/>
          <c:order val="0"/>
          <c:tx>
            <c:v>time -&gt; range</c:v>
          </c:tx>
          <c:spPr>
            <a:ln w="28575">
              <a:noFill/>
            </a:ln>
          </c:spPr>
          <c:trendline>
            <c:trendlineType val="poly"/>
            <c:order val="6"/>
            <c:forward val="10"/>
            <c:dispRSqr val="1"/>
            <c:dispEq val="1"/>
            <c:trendlineLbl>
              <c:layout>
                <c:manualLayout>
                  <c:x val="6.1824032671258279E-2"/>
                  <c:y val="-0.1250384354774651"/>
                </c:manualLayout>
              </c:layout>
              <c:numFmt formatCode="@" sourceLinked="0"/>
            </c:trendlineLbl>
          </c:trendline>
          <c:xVal>
            <c:numRef>
              <c:f>'gerak (low)'!$B$73:$B$90</c:f>
              <c:numCache>
                <c:formatCode>General</c:formatCode>
                <c:ptCount val="18"/>
                <c:pt idx="0">
                  <c:v>0</c:v>
                </c:pt>
                <c:pt idx="1">
                  <c:v>1.1000000000000001</c:v>
                </c:pt>
                <c:pt idx="2">
                  <c:v>2.2999999999999998</c:v>
                </c:pt>
                <c:pt idx="3">
                  <c:v>3.7</c:v>
                </c:pt>
                <c:pt idx="4">
                  <c:v>5.4</c:v>
                </c:pt>
                <c:pt idx="5">
                  <c:v>7.3</c:v>
                </c:pt>
                <c:pt idx="6">
                  <c:v>9.6</c:v>
                </c:pt>
                <c:pt idx="7">
                  <c:v>12.2</c:v>
                </c:pt>
                <c:pt idx="8">
                  <c:v>15.2</c:v>
                </c:pt>
                <c:pt idx="9">
                  <c:v>18.3</c:v>
                </c:pt>
                <c:pt idx="10">
                  <c:v>21.5</c:v>
                </c:pt>
                <c:pt idx="11">
                  <c:v>25</c:v>
                </c:pt>
                <c:pt idx="12">
                  <c:v>28.8</c:v>
                </c:pt>
                <c:pt idx="13">
                  <c:v>32.799999999999997</c:v>
                </c:pt>
                <c:pt idx="14">
                  <c:v>37.200000000000003</c:v>
                </c:pt>
                <c:pt idx="15">
                  <c:v>42.2</c:v>
                </c:pt>
                <c:pt idx="16">
                  <c:v>48</c:v>
                </c:pt>
                <c:pt idx="17">
                  <c:v>55.8</c:v>
                </c:pt>
              </c:numCache>
            </c:numRef>
          </c:xVal>
          <c:yVal>
            <c:numRef>
              <c:f>'gerak (low)'!$C$73:$C$90</c:f>
              <c:numCache>
                <c:formatCode>General</c:formatCode>
                <c:ptCount val="18"/>
                <c:pt idx="0">
                  <c:v>0</c:v>
                </c:pt>
                <c:pt idx="1">
                  <c:v>914.4</c:v>
                </c:pt>
                <c:pt idx="2">
                  <c:v>1828.8</c:v>
                </c:pt>
                <c:pt idx="3">
                  <c:v>2743.2</c:v>
                </c:pt>
                <c:pt idx="4">
                  <c:v>3657.6</c:v>
                </c:pt>
                <c:pt idx="5">
                  <c:v>4572</c:v>
                </c:pt>
                <c:pt idx="6">
                  <c:v>5486.4</c:v>
                </c:pt>
                <c:pt idx="7">
                  <c:v>6400.8</c:v>
                </c:pt>
                <c:pt idx="8">
                  <c:v>7315.2</c:v>
                </c:pt>
                <c:pt idx="9">
                  <c:v>8229.6</c:v>
                </c:pt>
                <c:pt idx="10">
                  <c:v>9144</c:v>
                </c:pt>
                <c:pt idx="11">
                  <c:v>10058.4</c:v>
                </c:pt>
                <c:pt idx="12">
                  <c:v>10972.8</c:v>
                </c:pt>
                <c:pt idx="13">
                  <c:v>11887.199999999999</c:v>
                </c:pt>
                <c:pt idx="14">
                  <c:v>12801.6</c:v>
                </c:pt>
                <c:pt idx="15">
                  <c:v>13716</c:v>
                </c:pt>
                <c:pt idx="16">
                  <c:v>14630.4</c:v>
                </c:pt>
                <c:pt idx="17">
                  <c:v>15544.8</c:v>
                </c:pt>
              </c:numCache>
            </c:numRef>
          </c:yVal>
        </c:ser>
        <c:axId val="82567552"/>
        <c:axId val="82569088"/>
      </c:scatterChart>
      <c:valAx>
        <c:axId val="82567552"/>
        <c:scaling>
          <c:orientation val="minMax"/>
        </c:scaling>
        <c:axPos val="b"/>
        <c:numFmt formatCode="General" sourceLinked="1"/>
        <c:tickLblPos val="nextTo"/>
        <c:crossAx val="82569088"/>
        <c:crosses val="autoZero"/>
        <c:crossBetween val="midCat"/>
      </c:valAx>
      <c:valAx>
        <c:axId val="82569088"/>
        <c:scaling>
          <c:orientation val="minMax"/>
        </c:scaling>
        <c:axPos val="l"/>
        <c:majorGridlines/>
        <c:numFmt formatCode="General" sourceLinked="1"/>
        <c:tickLblPos val="nextTo"/>
        <c:crossAx val="82567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799738183943069"/>
          <c:y val="0.67568588051122813"/>
          <c:w val="0.29065895732182662"/>
          <c:h val="0.14308932451692843"/>
        </c:manualLayout>
      </c:layout>
    </c:legend>
    <c:plotVisOnly val="1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jarak -&gt; </a:t>
            </a:r>
            <a:r>
              <a:rPr lang="en-US"/>
              <a:t>elevasi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700299727669739"/>
          <c:y val="0.16549679077725979"/>
          <c:w val="0.7884542929002345"/>
          <c:h val="0.7067515233162226"/>
        </c:manualLayout>
      </c:layout>
      <c:scatterChart>
        <c:scatterStyle val="lineMarker"/>
        <c:ser>
          <c:idx val="0"/>
          <c:order val="0"/>
          <c:tx>
            <c:v>range -&gt; elevation</c:v>
          </c:tx>
          <c:spPr>
            <a:ln w="28575">
              <a:noFill/>
            </a:ln>
          </c:spPr>
          <c:trendline>
            <c:spPr>
              <a:ln>
                <a:solidFill>
                  <a:srgbClr val="4F81BD"/>
                </a:solidFill>
              </a:ln>
            </c:spPr>
            <c:trendlineType val="log"/>
            <c:forward val="1000"/>
            <c:dispRSqr val="1"/>
            <c:dispEq val="1"/>
            <c:trendlineLbl>
              <c:layout>
                <c:manualLayout>
                  <c:x val="4.8889220618188033E-2"/>
                  <c:y val="-3.4596492335771625E-2"/>
                </c:manualLayout>
              </c:layout>
              <c:numFmt formatCode="@" sourceLinked="0"/>
            </c:trendlineLbl>
          </c:trendline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0.13307237970478733"/>
                  <c:y val="-1.8671416072990877E-2"/>
                </c:manualLayout>
              </c:layout>
              <c:numFmt formatCode="@" sourceLinked="0"/>
            </c:trendlineLbl>
          </c:trendline>
          <c:xVal>
            <c:numRef>
              <c:f>'gerak (low)'!$B$5:$B$22</c:f>
              <c:numCache>
                <c:formatCode>General</c:formatCode>
                <c:ptCount val="18"/>
                <c:pt idx="0">
                  <c:v>0</c:v>
                </c:pt>
                <c:pt idx="1">
                  <c:v>0.91439999999999999</c:v>
                </c:pt>
                <c:pt idx="2">
                  <c:v>1.8288</c:v>
                </c:pt>
                <c:pt idx="3">
                  <c:v>2.7431999999999999</c:v>
                </c:pt>
                <c:pt idx="4">
                  <c:v>3.6576</c:v>
                </c:pt>
                <c:pt idx="5">
                  <c:v>4.5720000000000001</c:v>
                </c:pt>
                <c:pt idx="6">
                  <c:v>5.4863999999999997</c:v>
                </c:pt>
                <c:pt idx="7">
                  <c:v>6.4008000000000003</c:v>
                </c:pt>
                <c:pt idx="8">
                  <c:v>7.3151999999999999</c:v>
                </c:pt>
                <c:pt idx="9">
                  <c:v>8.2296000000000014</c:v>
                </c:pt>
                <c:pt idx="10">
                  <c:v>9.1440000000000001</c:v>
                </c:pt>
                <c:pt idx="11">
                  <c:v>10.058400000000001</c:v>
                </c:pt>
                <c:pt idx="12">
                  <c:v>10.972799999999999</c:v>
                </c:pt>
                <c:pt idx="13">
                  <c:v>11.8872</c:v>
                </c:pt>
                <c:pt idx="14">
                  <c:v>12.801600000000001</c:v>
                </c:pt>
                <c:pt idx="15">
                  <c:v>13.716000000000001</c:v>
                </c:pt>
                <c:pt idx="16">
                  <c:v>14.6304</c:v>
                </c:pt>
                <c:pt idx="17">
                  <c:v>15.5448</c:v>
                </c:pt>
              </c:numCache>
            </c:numRef>
          </c:xVal>
          <c:yVal>
            <c:numRef>
              <c:f>'gerak (low)'!$C$5:$C$22</c:f>
              <c:numCache>
                <c:formatCode>General</c:formatCode>
                <c:ptCount val="18"/>
                <c:pt idx="0">
                  <c:v>0</c:v>
                </c:pt>
                <c:pt idx="1">
                  <c:v>0.3</c:v>
                </c:pt>
                <c:pt idx="2">
                  <c:v>0.8</c:v>
                </c:pt>
                <c:pt idx="3">
                  <c:v>1.3</c:v>
                </c:pt>
                <c:pt idx="4">
                  <c:v>1.9</c:v>
                </c:pt>
                <c:pt idx="5">
                  <c:v>2.6</c:v>
                </c:pt>
                <c:pt idx="6">
                  <c:v>3.6</c:v>
                </c:pt>
                <c:pt idx="7">
                  <c:v>4.8</c:v>
                </c:pt>
                <c:pt idx="8">
                  <c:v>6.3</c:v>
                </c:pt>
                <c:pt idx="9">
                  <c:v>8</c:v>
                </c:pt>
                <c:pt idx="10">
                  <c:v>10.1</c:v>
                </c:pt>
                <c:pt idx="11">
                  <c:v>12.3</c:v>
                </c:pt>
                <c:pt idx="12">
                  <c:v>14.9</c:v>
                </c:pt>
                <c:pt idx="13">
                  <c:v>17.8</c:v>
                </c:pt>
                <c:pt idx="14">
                  <c:v>21</c:v>
                </c:pt>
                <c:pt idx="15">
                  <c:v>24.8</c:v>
                </c:pt>
                <c:pt idx="16">
                  <c:v>29.4</c:v>
                </c:pt>
                <c:pt idx="17">
                  <c:v>35.9</c:v>
                </c:pt>
              </c:numCache>
            </c:numRef>
          </c:yVal>
        </c:ser>
        <c:axId val="82590720"/>
        <c:axId val="82617088"/>
      </c:scatterChart>
      <c:valAx>
        <c:axId val="82590720"/>
        <c:scaling>
          <c:orientation val="minMax"/>
          <c:min val="0"/>
        </c:scaling>
        <c:axPos val="b"/>
        <c:numFmt formatCode="General" sourceLinked="1"/>
        <c:tickLblPos val="nextTo"/>
        <c:crossAx val="82617088"/>
        <c:crosses val="autoZero"/>
        <c:crossBetween val="midCat"/>
      </c:valAx>
      <c:valAx>
        <c:axId val="82617088"/>
        <c:scaling>
          <c:orientation val="minMax"/>
        </c:scaling>
        <c:axPos val="l"/>
        <c:majorGridlines/>
        <c:numFmt formatCode="General" sourceLinked="1"/>
        <c:tickLblPos val="nextTo"/>
        <c:crossAx val="82590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270792279462537"/>
          <c:y val="0.72578016243544774"/>
          <c:w val="0.33939400831447619"/>
          <c:h val="0.14224513971151864"/>
        </c:manualLayout>
      </c:layout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jarak -&gt; time (TOF)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0676796770066742E-2"/>
          <c:y val="0.17740210823625024"/>
          <c:w val="0.75890135047382412"/>
          <c:h val="0.77578884572853712"/>
        </c:manualLayout>
      </c:layout>
      <c:scatterChart>
        <c:scatterStyle val="lineMarker"/>
        <c:ser>
          <c:idx val="0"/>
          <c:order val="0"/>
          <c:tx>
            <c:v>range -&gt; time (TOF)</c:v>
          </c:tx>
          <c:spPr>
            <a:ln w="28575">
              <a:noFill/>
            </a:ln>
          </c:spPr>
          <c:trendline>
            <c:trendlineType val="poly"/>
            <c:order val="4"/>
            <c:forward val="1"/>
            <c:dispRSqr val="1"/>
            <c:dispEq val="1"/>
            <c:trendlineLbl>
              <c:layout>
                <c:manualLayout>
                  <c:x val="9.1580061582183264E-2"/>
                  <c:y val="-1.719129125071665E-2"/>
                </c:manualLayout>
              </c:layout>
              <c:numFmt formatCode="@" sourceLinked="0"/>
              <c:txPr>
                <a:bodyPr rot="0" vert="horz" anchor="ctr" anchorCtr="1"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'gerak (low)'!$B$26:$B$43</c:f>
              <c:numCache>
                <c:formatCode>General</c:formatCode>
                <c:ptCount val="18"/>
                <c:pt idx="0">
                  <c:v>0</c:v>
                </c:pt>
                <c:pt idx="1">
                  <c:v>0.91439999999999999</c:v>
                </c:pt>
                <c:pt idx="2">
                  <c:v>1.8288</c:v>
                </c:pt>
                <c:pt idx="3">
                  <c:v>2.7431999999999999</c:v>
                </c:pt>
                <c:pt idx="4">
                  <c:v>3.6576</c:v>
                </c:pt>
                <c:pt idx="5">
                  <c:v>4.5720000000000001</c:v>
                </c:pt>
                <c:pt idx="6">
                  <c:v>5.4863999999999997</c:v>
                </c:pt>
                <c:pt idx="7">
                  <c:v>6.4008000000000003</c:v>
                </c:pt>
                <c:pt idx="8">
                  <c:v>7.3151999999999999</c:v>
                </c:pt>
                <c:pt idx="9">
                  <c:v>8.2296000000000014</c:v>
                </c:pt>
                <c:pt idx="10">
                  <c:v>9.1440000000000001</c:v>
                </c:pt>
                <c:pt idx="11">
                  <c:v>10.058400000000001</c:v>
                </c:pt>
                <c:pt idx="12">
                  <c:v>10.972799999999999</c:v>
                </c:pt>
                <c:pt idx="13">
                  <c:v>11.8872</c:v>
                </c:pt>
                <c:pt idx="14">
                  <c:v>12.801600000000001</c:v>
                </c:pt>
                <c:pt idx="15">
                  <c:v>13.716000000000001</c:v>
                </c:pt>
                <c:pt idx="16">
                  <c:v>14.6304</c:v>
                </c:pt>
                <c:pt idx="17">
                  <c:v>15.5448</c:v>
                </c:pt>
              </c:numCache>
            </c:numRef>
          </c:xVal>
          <c:yVal>
            <c:numRef>
              <c:f>'gerak (low)'!$C$26:$C$43</c:f>
              <c:numCache>
                <c:formatCode>General</c:formatCode>
                <c:ptCount val="18"/>
                <c:pt idx="0">
                  <c:v>0</c:v>
                </c:pt>
                <c:pt idx="1">
                  <c:v>1.1000000000000001</c:v>
                </c:pt>
                <c:pt idx="2">
                  <c:v>2.2999999999999998</c:v>
                </c:pt>
                <c:pt idx="3">
                  <c:v>3.7</c:v>
                </c:pt>
                <c:pt idx="4">
                  <c:v>5.4</c:v>
                </c:pt>
                <c:pt idx="5">
                  <c:v>7.3</c:v>
                </c:pt>
                <c:pt idx="6">
                  <c:v>9.6</c:v>
                </c:pt>
                <c:pt idx="7">
                  <c:v>12.2</c:v>
                </c:pt>
                <c:pt idx="8">
                  <c:v>15.2</c:v>
                </c:pt>
                <c:pt idx="9">
                  <c:v>18.3</c:v>
                </c:pt>
                <c:pt idx="10">
                  <c:v>21.5</c:v>
                </c:pt>
                <c:pt idx="11">
                  <c:v>25</c:v>
                </c:pt>
                <c:pt idx="12">
                  <c:v>28.8</c:v>
                </c:pt>
                <c:pt idx="13">
                  <c:v>32.799999999999997</c:v>
                </c:pt>
                <c:pt idx="14">
                  <c:v>37.200000000000003</c:v>
                </c:pt>
                <c:pt idx="15">
                  <c:v>42.2</c:v>
                </c:pt>
                <c:pt idx="16">
                  <c:v>48</c:v>
                </c:pt>
                <c:pt idx="17">
                  <c:v>55.8</c:v>
                </c:pt>
              </c:numCache>
            </c:numRef>
          </c:yVal>
        </c:ser>
        <c:axId val="82647296"/>
        <c:axId val="82649088"/>
      </c:scatterChart>
      <c:valAx>
        <c:axId val="82647296"/>
        <c:scaling>
          <c:orientation val="minMax"/>
        </c:scaling>
        <c:axPos val="b"/>
        <c:numFmt formatCode="General" sourceLinked="1"/>
        <c:tickLblPos val="nextTo"/>
        <c:crossAx val="82649088"/>
        <c:crosses val="autoZero"/>
        <c:crossBetween val="midCat"/>
      </c:valAx>
      <c:valAx>
        <c:axId val="82649088"/>
        <c:scaling>
          <c:orientation val="minMax"/>
        </c:scaling>
        <c:axPos val="l"/>
        <c:majorGridlines/>
        <c:numFmt formatCode="General" sourceLinked="1"/>
        <c:tickLblPos val="nextTo"/>
        <c:crossAx val="826472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4839271868297865"/>
          <c:y val="0.68721311192415258"/>
          <c:w val="0.32991726673176902"/>
          <c:h val="0.15247780668536601"/>
        </c:manualLayout>
      </c:layout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jarak-&gt;</a:t>
            </a:r>
            <a:r>
              <a:rPr lang="en-US" baseline="0"/>
              <a:t> </a:t>
            </a:r>
            <a:r>
              <a:rPr lang="en-US"/>
              <a:t>tertinggi</a:t>
            </a:r>
          </a:p>
        </c:rich>
      </c:tx>
      <c:layout>
        <c:manualLayout>
          <c:xMode val="edge"/>
          <c:yMode val="edge"/>
          <c:x val="0.33535632183908276"/>
          <c:y val="1.5369836695485167E-2"/>
        </c:manualLayout>
      </c:layout>
    </c:title>
    <c:plotArea>
      <c:layout>
        <c:manualLayout>
          <c:layoutTarget val="inner"/>
          <c:xMode val="edge"/>
          <c:yMode val="edge"/>
          <c:x val="0.11265507436570428"/>
          <c:y val="0.19480351414406533"/>
          <c:w val="0.81779154555420663"/>
          <c:h val="0.73071959755030813"/>
        </c:manualLayout>
      </c:layout>
      <c:scatterChart>
        <c:scatterStyle val="smoothMarker"/>
        <c:ser>
          <c:idx val="0"/>
          <c:order val="0"/>
          <c:tx>
            <c:v>range -&gt; height</c:v>
          </c:tx>
          <c:trendline>
            <c:trendlineType val="log"/>
            <c:dispRSqr val="1"/>
            <c:dispEq val="1"/>
            <c:trendlineLbl>
              <c:layout>
                <c:manualLayout>
                  <c:x val="3.6098058592878318E-2"/>
                  <c:y val="-2.2168138073649885E-2"/>
                </c:manualLayout>
              </c:layout>
              <c:numFmt formatCode="@" sourceLinked="0"/>
            </c:trendlineLbl>
          </c:trendline>
          <c:trendline>
            <c:trendlineType val="poly"/>
            <c:order val="6"/>
            <c:forward val="1"/>
            <c:dispRSqr val="1"/>
            <c:dispEq val="1"/>
            <c:trendlineLbl>
              <c:layout>
                <c:manualLayout>
                  <c:x val="4.2846972063714711E-2"/>
                  <c:y val="-1.0190089875129239E-2"/>
                </c:manualLayout>
              </c:layout>
              <c:numFmt formatCode="@" sourceLinked="0"/>
            </c:trendlineLbl>
          </c:trendline>
          <c:xVal>
            <c:numRef>
              <c:f>'gerak (low)'!$B$48:$B$65</c:f>
              <c:numCache>
                <c:formatCode>General</c:formatCode>
                <c:ptCount val="18"/>
                <c:pt idx="0">
                  <c:v>0</c:v>
                </c:pt>
                <c:pt idx="1">
                  <c:v>0.91439999999999999</c:v>
                </c:pt>
                <c:pt idx="2">
                  <c:v>1.8288</c:v>
                </c:pt>
                <c:pt idx="3">
                  <c:v>2.7431999999999999</c:v>
                </c:pt>
                <c:pt idx="4">
                  <c:v>3.6576</c:v>
                </c:pt>
                <c:pt idx="5">
                  <c:v>4.5720000000000001</c:v>
                </c:pt>
                <c:pt idx="6">
                  <c:v>5.4863999999999997</c:v>
                </c:pt>
                <c:pt idx="7">
                  <c:v>6.4008000000000003</c:v>
                </c:pt>
                <c:pt idx="8">
                  <c:v>7.3151999999999999</c:v>
                </c:pt>
                <c:pt idx="9">
                  <c:v>8.2296000000000014</c:v>
                </c:pt>
                <c:pt idx="10">
                  <c:v>9.1440000000000001</c:v>
                </c:pt>
                <c:pt idx="11">
                  <c:v>10.058400000000001</c:v>
                </c:pt>
                <c:pt idx="12">
                  <c:v>10.972799999999999</c:v>
                </c:pt>
                <c:pt idx="13">
                  <c:v>11.8872</c:v>
                </c:pt>
                <c:pt idx="14">
                  <c:v>12.801600000000001</c:v>
                </c:pt>
                <c:pt idx="15">
                  <c:v>13.716000000000001</c:v>
                </c:pt>
                <c:pt idx="16">
                  <c:v>14.6304</c:v>
                </c:pt>
                <c:pt idx="17">
                  <c:v>15.5448</c:v>
                </c:pt>
              </c:numCache>
            </c:numRef>
          </c:xVal>
          <c:yVal>
            <c:numRef>
              <c:f>'gerak (low)'!$C$48:$C$65</c:f>
              <c:numCache>
                <c:formatCode>General</c:formatCode>
                <c:ptCount val="18"/>
                <c:pt idx="0">
                  <c:v>0</c:v>
                </c:pt>
                <c:pt idx="1">
                  <c:v>1.524</c:v>
                </c:pt>
                <c:pt idx="2">
                  <c:v>6.7056000000000004</c:v>
                </c:pt>
                <c:pt idx="3">
                  <c:v>17.3736</c:v>
                </c:pt>
                <c:pt idx="4">
                  <c:v>35.9664</c:v>
                </c:pt>
                <c:pt idx="5">
                  <c:v>66.141599999999997</c:v>
                </c:pt>
                <c:pt idx="6">
                  <c:v>113.08080000000001</c:v>
                </c:pt>
                <c:pt idx="7">
                  <c:v>186.8424</c:v>
                </c:pt>
                <c:pt idx="8">
                  <c:v>294.13200000000001</c:v>
                </c:pt>
                <c:pt idx="9">
                  <c:v>439.82640000000004</c:v>
                </c:pt>
                <c:pt idx="10">
                  <c:v>626.97360000000003</c:v>
                </c:pt>
                <c:pt idx="11">
                  <c:v>860.14560000000006</c:v>
                </c:pt>
                <c:pt idx="12">
                  <c:v>1146.9624000000001</c:v>
                </c:pt>
                <c:pt idx="13">
                  <c:v>1496.2632000000001</c:v>
                </c:pt>
                <c:pt idx="14">
                  <c:v>1924.5072</c:v>
                </c:pt>
                <c:pt idx="15">
                  <c:v>2458.8216000000002</c:v>
                </c:pt>
                <c:pt idx="16">
                  <c:v>3162.9096</c:v>
                </c:pt>
                <c:pt idx="17">
                  <c:v>4212.9456</c:v>
                </c:pt>
              </c:numCache>
            </c:numRef>
          </c:yVal>
          <c:smooth val="1"/>
        </c:ser>
        <c:axId val="82698240"/>
        <c:axId val="82699776"/>
      </c:scatterChart>
      <c:valAx>
        <c:axId val="82698240"/>
        <c:scaling>
          <c:orientation val="minMax"/>
        </c:scaling>
        <c:axPos val="b"/>
        <c:numFmt formatCode="General" sourceLinked="1"/>
        <c:tickLblPos val="nextTo"/>
        <c:crossAx val="82699776"/>
        <c:crosses val="autoZero"/>
        <c:crossBetween val="midCat"/>
      </c:valAx>
      <c:valAx>
        <c:axId val="82699776"/>
        <c:scaling>
          <c:orientation val="minMax"/>
        </c:scaling>
        <c:axPos val="l"/>
        <c:majorGridlines/>
        <c:numFmt formatCode="General" sourceLinked="1"/>
        <c:tickLblPos val="nextTo"/>
        <c:crossAx val="82698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966666666666667"/>
          <c:y val="0.64076188393117783"/>
          <c:w val="0.25700000000000001"/>
          <c:h val="0.16743438320210047"/>
        </c:manualLayout>
      </c:layout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rendline>
            <c:trendlineType val="poly"/>
            <c:order val="2"/>
            <c:forward val="50"/>
            <c:dispEq val="1"/>
            <c:trendlineLbl>
              <c:numFmt formatCode="General" sourceLinked="0"/>
            </c:trendlineLbl>
          </c:trendline>
          <c:xVal>
            <c:numRef>
              <c:f>'gerak (low)'!$F$144:$F$147</c:f>
              <c:numCache>
                <c:formatCode>General</c:formatCode>
                <c:ptCount val="4"/>
                <c:pt idx="0">
                  <c:v>1</c:v>
                </c:pt>
                <c:pt idx="1">
                  <c:v>180</c:v>
                </c:pt>
                <c:pt idx="2">
                  <c:v>600</c:v>
                </c:pt>
                <c:pt idx="3">
                  <c:v>1000</c:v>
                </c:pt>
              </c:numCache>
            </c:numRef>
          </c:xVal>
          <c:yVal>
            <c:numRef>
              <c:f>'gerak (low)'!$E$144:$E$147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40</c:v>
                </c:pt>
                <c:pt idx="3">
                  <c:v>90</c:v>
                </c:pt>
              </c:numCache>
            </c:numRef>
          </c:yVal>
        </c:ser>
        <c:axId val="82716544"/>
        <c:axId val="82718080"/>
      </c:scatterChart>
      <c:valAx>
        <c:axId val="82716544"/>
        <c:scaling>
          <c:orientation val="minMax"/>
        </c:scaling>
        <c:axPos val="b"/>
        <c:numFmt formatCode="General" sourceLinked="1"/>
        <c:tickLblPos val="nextTo"/>
        <c:crossAx val="82718080"/>
        <c:crosses val="autoZero"/>
        <c:crossBetween val="midCat"/>
      </c:valAx>
      <c:valAx>
        <c:axId val="82718080"/>
        <c:scaling>
          <c:orientation val="minMax"/>
        </c:scaling>
        <c:axPos val="l"/>
        <c:majorGridlines/>
        <c:numFmt formatCode="General" sourceLinked="1"/>
        <c:tickLblPos val="nextTo"/>
        <c:crossAx val="8271654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jarak max -&gt; elevasi (HIGH)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4488407699037621E-2"/>
          <c:y val="0.19480351414406533"/>
          <c:w val="0.83051159230096228"/>
          <c:h val="0.65482210557013765"/>
        </c:manualLayout>
      </c:layout>
      <c:scatterChart>
        <c:scatterStyle val="lineMarker"/>
        <c:ser>
          <c:idx val="0"/>
          <c:order val="0"/>
          <c:tx>
            <c:v>jarak -&gt; elevasi (HIGH)</c:v>
          </c:tx>
          <c:spPr>
            <a:ln w="28575">
              <a:noFill/>
            </a:ln>
          </c:spPr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8.6111111111110916E-2"/>
                  <c:y val="8.7192330125401007E-2"/>
                </c:manualLayout>
              </c:layout>
              <c:numFmt formatCode="@" sourceLinked="0"/>
            </c:trendlineLbl>
          </c:trendline>
          <c:xVal>
            <c:numRef>
              <c:f>'gerak (high)'!$D$4:$D$24</c:f>
              <c:numCache>
                <c:formatCode>General</c:formatCode>
                <c:ptCount val="21"/>
                <c:pt idx="0">
                  <c:v>12070.08</c:v>
                </c:pt>
                <c:pt idx="1">
                  <c:v>12252.96</c:v>
                </c:pt>
                <c:pt idx="2">
                  <c:v>12435.84</c:v>
                </c:pt>
                <c:pt idx="3">
                  <c:v>12618.720000000001</c:v>
                </c:pt>
                <c:pt idx="4">
                  <c:v>12801.6</c:v>
                </c:pt>
                <c:pt idx="5">
                  <c:v>12984.48</c:v>
                </c:pt>
                <c:pt idx="6">
                  <c:v>13167.36</c:v>
                </c:pt>
                <c:pt idx="7">
                  <c:v>13350.24</c:v>
                </c:pt>
                <c:pt idx="8">
                  <c:v>13533.12</c:v>
                </c:pt>
                <c:pt idx="9">
                  <c:v>13716</c:v>
                </c:pt>
                <c:pt idx="10">
                  <c:v>13898.88</c:v>
                </c:pt>
                <c:pt idx="11">
                  <c:v>14081.76</c:v>
                </c:pt>
                <c:pt idx="12">
                  <c:v>14264.64</c:v>
                </c:pt>
                <c:pt idx="13">
                  <c:v>14447.52</c:v>
                </c:pt>
                <c:pt idx="14">
                  <c:v>14630.4</c:v>
                </c:pt>
                <c:pt idx="15">
                  <c:v>14813.279999999999</c:v>
                </c:pt>
                <c:pt idx="16">
                  <c:v>14996.159999999998</c:v>
                </c:pt>
                <c:pt idx="17">
                  <c:v>15179.04</c:v>
                </c:pt>
                <c:pt idx="18">
                  <c:v>15361.92</c:v>
                </c:pt>
                <c:pt idx="19">
                  <c:v>15544.8</c:v>
                </c:pt>
                <c:pt idx="20">
                  <c:v>15727.679999999998</c:v>
                </c:pt>
              </c:numCache>
            </c:numRef>
          </c:xVal>
          <c:yVal>
            <c:numRef>
              <c:f>'gerak (high)'!$E$4:$E$24</c:f>
              <c:numCache>
                <c:formatCode>General</c:formatCode>
                <c:ptCount val="21"/>
                <c:pt idx="0">
                  <c:v>67.8</c:v>
                </c:pt>
                <c:pt idx="1">
                  <c:v>67.2</c:v>
                </c:pt>
                <c:pt idx="2">
                  <c:v>66.7</c:v>
                </c:pt>
                <c:pt idx="3">
                  <c:v>66.2</c:v>
                </c:pt>
                <c:pt idx="4">
                  <c:v>65.7</c:v>
                </c:pt>
                <c:pt idx="5">
                  <c:v>65.2</c:v>
                </c:pt>
                <c:pt idx="6">
                  <c:v>64.599999999999994</c:v>
                </c:pt>
                <c:pt idx="7">
                  <c:v>64.099999999999994</c:v>
                </c:pt>
                <c:pt idx="8">
                  <c:v>63.5</c:v>
                </c:pt>
                <c:pt idx="9">
                  <c:v>62.9</c:v>
                </c:pt>
                <c:pt idx="10">
                  <c:v>62.3</c:v>
                </c:pt>
                <c:pt idx="11">
                  <c:v>61.7</c:v>
                </c:pt>
                <c:pt idx="12">
                  <c:v>61</c:v>
                </c:pt>
                <c:pt idx="13">
                  <c:v>60.3</c:v>
                </c:pt>
                <c:pt idx="14">
                  <c:v>59.6</c:v>
                </c:pt>
                <c:pt idx="15">
                  <c:v>58.8</c:v>
                </c:pt>
                <c:pt idx="16">
                  <c:v>58.1</c:v>
                </c:pt>
                <c:pt idx="17">
                  <c:v>57.2</c:v>
                </c:pt>
                <c:pt idx="18">
                  <c:v>56.2</c:v>
                </c:pt>
                <c:pt idx="19">
                  <c:v>55.2</c:v>
                </c:pt>
                <c:pt idx="20">
                  <c:v>54</c:v>
                </c:pt>
              </c:numCache>
            </c:numRef>
          </c:yVal>
        </c:ser>
        <c:axId val="82801408"/>
        <c:axId val="82802944"/>
      </c:scatterChart>
      <c:valAx>
        <c:axId val="82801408"/>
        <c:scaling>
          <c:orientation val="minMax"/>
          <c:max val="17000"/>
          <c:min val="10000"/>
        </c:scaling>
        <c:axPos val="b"/>
        <c:numFmt formatCode="General" sourceLinked="1"/>
        <c:tickLblPos val="nextTo"/>
        <c:crossAx val="82802944"/>
        <c:crosses val="autoZero"/>
        <c:crossBetween val="midCat"/>
      </c:valAx>
      <c:valAx>
        <c:axId val="82802944"/>
        <c:scaling>
          <c:orientation val="minMax"/>
        </c:scaling>
        <c:axPos val="l"/>
        <c:majorGridlines/>
        <c:numFmt formatCode="General" sourceLinked="1"/>
        <c:tickLblPos val="nextTo"/>
        <c:crossAx val="828014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5575000000000161"/>
          <c:y val="0.61260024788568201"/>
          <c:w val="0.33313888888888987"/>
          <c:h val="0.20060950714494022"/>
        </c:manualLayout>
      </c:layout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elevasi -&gt; jarak max (HIGH)</a:t>
            </a:r>
          </a:p>
        </c:rich>
      </c:tx>
      <c:layout>
        <c:manualLayout>
          <c:xMode val="edge"/>
          <c:yMode val="edge"/>
          <c:x val="0.21281255468066493"/>
          <c:y val="2.3148148148148147E-2"/>
        </c:manualLayout>
      </c:layout>
    </c:title>
    <c:plotArea>
      <c:layout>
        <c:manualLayout>
          <c:layoutTarget val="inner"/>
          <c:xMode val="edge"/>
          <c:yMode val="edge"/>
          <c:x val="8.4488407699037621E-2"/>
          <c:y val="0.19480351414406533"/>
          <c:w val="0.83051159230096228"/>
          <c:h val="0.65482210557013765"/>
        </c:manualLayout>
      </c:layout>
      <c:scatterChart>
        <c:scatterStyle val="lineMarker"/>
        <c:ser>
          <c:idx val="0"/>
          <c:order val="0"/>
          <c:tx>
            <c:v>elevasi -&gt; jarak (HIGH)</c:v>
          </c:tx>
          <c:spPr>
            <a:ln w="28575">
              <a:noFill/>
            </a:ln>
          </c:spPr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0.2"/>
                  <c:y val="-0.35301800816564693"/>
                </c:manualLayout>
              </c:layout>
              <c:numFmt formatCode="@" sourceLinked="0"/>
            </c:trendlineLbl>
          </c:trendline>
          <c:xVal>
            <c:numRef>
              <c:f>'gerak (high)'!$E$4:$E$24</c:f>
              <c:numCache>
                <c:formatCode>General</c:formatCode>
                <c:ptCount val="21"/>
                <c:pt idx="0">
                  <c:v>67.8</c:v>
                </c:pt>
                <c:pt idx="1">
                  <c:v>67.2</c:v>
                </c:pt>
                <c:pt idx="2">
                  <c:v>66.7</c:v>
                </c:pt>
                <c:pt idx="3">
                  <c:v>66.2</c:v>
                </c:pt>
                <c:pt idx="4">
                  <c:v>65.7</c:v>
                </c:pt>
                <c:pt idx="5">
                  <c:v>65.2</c:v>
                </c:pt>
                <c:pt idx="6">
                  <c:v>64.599999999999994</c:v>
                </c:pt>
                <c:pt idx="7">
                  <c:v>64.099999999999994</c:v>
                </c:pt>
                <c:pt idx="8">
                  <c:v>63.5</c:v>
                </c:pt>
                <c:pt idx="9">
                  <c:v>62.9</c:v>
                </c:pt>
                <c:pt idx="10">
                  <c:v>62.3</c:v>
                </c:pt>
                <c:pt idx="11">
                  <c:v>61.7</c:v>
                </c:pt>
                <c:pt idx="12">
                  <c:v>61</c:v>
                </c:pt>
                <c:pt idx="13">
                  <c:v>60.3</c:v>
                </c:pt>
                <c:pt idx="14">
                  <c:v>59.6</c:v>
                </c:pt>
                <c:pt idx="15">
                  <c:v>58.8</c:v>
                </c:pt>
                <c:pt idx="16">
                  <c:v>58.1</c:v>
                </c:pt>
                <c:pt idx="17">
                  <c:v>57.2</c:v>
                </c:pt>
                <c:pt idx="18">
                  <c:v>56.2</c:v>
                </c:pt>
                <c:pt idx="19">
                  <c:v>55.2</c:v>
                </c:pt>
                <c:pt idx="20">
                  <c:v>54</c:v>
                </c:pt>
              </c:numCache>
            </c:numRef>
          </c:xVal>
          <c:yVal>
            <c:numRef>
              <c:f>'gerak (high)'!$D$4:$D$24</c:f>
              <c:numCache>
                <c:formatCode>General</c:formatCode>
                <c:ptCount val="21"/>
                <c:pt idx="0">
                  <c:v>12070.08</c:v>
                </c:pt>
                <c:pt idx="1">
                  <c:v>12252.96</c:v>
                </c:pt>
                <c:pt idx="2">
                  <c:v>12435.84</c:v>
                </c:pt>
                <c:pt idx="3">
                  <c:v>12618.720000000001</c:v>
                </c:pt>
                <c:pt idx="4">
                  <c:v>12801.6</c:v>
                </c:pt>
                <c:pt idx="5">
                  <c:v>12984.48</c:v>
                </c:pt>
                <c:pt idx="6">
                  <c:v>13167.36</c:v>
                </c:pt>
                <c:pt idx="7">
                  <c:v>13350.24</c:v>
                </c:pt>
                <c:pt idx="8">
                  <c:v>13533.12</c:v>
                </c:pt>
                <c:pt idx="9">
                  <c:v>13716</c:v>
                </c:pt>
                <c:pt idx="10">
                  <c:v>13898.88</c:v>
                </c:pt>
                <c:pt idx="11">
                  <c:v>14081.76</c:v>
                </c:pt>
                <c:pt idx="12">
                  <c:v>14264.64</c:v>
                </c:pt>
                <c:pt idx="13">
                  <c:v>14447.52</c:v>
                </c:pt>
                <c:pt idx="14">
                  <c:v>14630.4</c:v>
                </c:pt>
                <c:pt idx="15">
                  <c:v>14813.279999999999</c:v>
                </c:pt>
                <c:pt idx="16">
                  <c:v>14996.159999999998</c:v>
                </c:pt>
                <c:pt idx="17">
                  <c:v>15179.04</c:v>
                </c:pt>
                <c:pt idx="18">
                  <c:v>15361.92</c:v>
                </c:pt>
                <c:pt idx="19">
                  <c:v>15544.8</c:v>
                </c:pt>
                <c:pt idx="20">
                  <c:v>15727.679999999998</c:v>
                </c:pt>
              </c:numCache>
            </c:numRef>
          </c:yVal>
        </c:ser>
        <c:axId val="82844288"/>
        <c:axId val="82850176"/>
      </c:scatterChart>
      <c:valAx>
        <c:axId val="82844288"/>
        <c:scaling>
          <c:orientation val="minMax"/>
          <c:max val="75"/>
          <c:min val="50"/>
        </c:scaling>
        <c:axPos val="b"/>
        <c:numFmt formatCode="General" sourceLinked="1"/>
        <c:tickLblPos val="nextTo"/>
        <c:crossAx val="82850176"/>
        <c:crosses val="autoZero"/>
        <c:crossBetween val="midCat"/>
      </c:valAx>
      <c:valAx>
        <c:axId val="82850176"/>
        <c:scaling>
          <c:orientation val="minMax"/>
          <c:max val="17000"/>
          <c:min val="10000"/>
        </c:scaling>
        <c:axPos val="l"/>
        <c:majorGridlines/>
        <c:numFmt formatCode="General" sourceLinked="1"/>
        <c:tickLblPos val="nextTo"/>
        <c:crossAx val="828442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686111111111268"/>
          <c:y val="0.5338965441819773"/>
          <c:w val="0.33313888888889004"/>
          <c:h val="0.27931321084864474"/>
        </c:manualLayout>
      </c:layout>
    </c:legend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v>waktu -&gt; jarak</c:v>
          </c:tx>
          <c:trendline>
            <c:trendlineType val="poly"/>
            <c:order val="2"/>
            <c:forward val="5"/>
            <c:backward val="25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'gerak (high)'!$E$27:$E$47</c:f>
              <c:numCache>
                <c:formatCode>General</c:formatCode>
                <c:ptCount val="21"/>
                <c:pt idx="0">
                  <c:v>87.7</c:v>
                </c:pt>
                <c:pt idx="1">
                  <c:v>87.4</c:v>
                </c:pt>
                <c:pt idx="2">
                  <c:v>87.1</c:v>
                </c:pt>
                <c:pt idx="3">
                  <c:v>86.7</c:v>
                </c:pt>
                <c:pt idx="4">
                  <c:v>86.3</c:v>
                </c:pt>
                <c:pt idx="5">
                  <c:v>85.9</c:v>
                </c:pt>
                <c:pt idx="6">
                  <c:v>85.5</c:v>
                </c:pt>
                <c:pt idx="7">
                  <c:v>85.1</c:v>
                </c:pt>
                <c:pt idx="8">
                  <c:v>84.6</c:v>
                </c:pt>
                <c:pt idx="9">
                  <c:v>84.2</c:v>
                </c:pt>
                <c:pt idx="10">
                  <c:v>83.7</c:v>
                </c:pt>
                <c:pt idx="11">
                  <c:v>83.1</c:v>
                </c:pt>
                <c:pt idx="12">
                  <c:v>82.6</c:v>
                </c:pt>
                <c:pt idx="13">
                  <c:v>82</c:v>
                </c:pt>
                <c:pt idx="14">
                  <c:v>81.400000000000006</c:v>
                </c:pt>
                <c:pt idx="15">
                  <c:v>80.7</c:v>
                </c:pt>
                <c:pt idx="16">
                  <c:v>80.099999999999994</c:v>
                </c:pt>
                <c:pt idx="17">
                  <c:v>79.2</c:v>
                </c:pt>
                <c:pt idx="18">
                  <c:v>78.400000000000006</c:v>
                </c:pt>
                <c:pt idx="19">
                  <c:v>77.400000000000006</c:v>
                </c:pt>
                <c:pt idx="20">
                  <c:v>76.2</c:v>
                </c:pt>
              </c:numCache>
            </c:numRef>
          </c:xVal>
          <c:yVal>
            <c:numRef>
              <c:f>'gerak (high)'!$D$27:$D$47</c:f>
              <c:numCache>
                <c:formatCode>General</c:formatCode>
                <c:ptCount val="21"/>
                <c:pt idx="0">
                  <c:v>12070.08</c:v>
                </c:pt>
                <c:pt idx="1">
                  <c:v>12252.96</c:v>
                </c:pt>
                <c:pt idx="2">
                  <c:v>12435.84</c:v>
                </c:pt>
                <c:pt idx="3">
                  <c:v>12618.720000000001</c:v>
                </c:pt>
                <c:pt idx="4">
                  <c:v>12801.6</c:v>
                </c:pt>
                <c:pt idx="5">
                  <c:v>12984.48</c:v>
                </c:pt>
                <c:pt idx="6">
                  <c:v>13167.36</c:v>
                </c:pt>
                <c:pt idx="7">
                  <c:v>13350.24</c:v>
                </c:pt>
                <c:pt idx="8">
                  <c:v>13533.12</c:v>
                </c:pt>
                <c:pt idx="9">
                  <c:v>13716</c:v>
                </c:pt>
                <c:pt idx="10">
                  <c:v>13898.88</c:v>
                </c:pt>
                <c:pt idx="11">
                  <c:v>14081.76</c:v>
                </c:pt>
                <c:pt idx="12">
                  <c:v>14264.64</c:v>
                </c:pt>
                <c:pt idx="13">
                  <c:v>14447.52</c:v>
                </c:pt>
                <c:pt idx="14">
                  <c:v>14630.4</c:v>
                </c:pt>
                <c:pt idx="15">
                  <c:v>14813.279999999999</c:v>
                </c:pt>
                <c:pt idx="16">
                  <c:v>14996.159999999998</c:v>
                </c:pt>
                <c:pt idx="17">
                  <c:v>15179.04</c:v>
                </c:pt>
                <c:pt idx="18">
                  <c:v>15361.92</c:v>
                </c:pt>
                <c:pt idx="19">
                  <c:v>15544.8</c:v>
                </c:pt>
                <c:pt idx="20">
                  <c:v>15727.679999999998</c:v>
                </c:pt>
              </c:numCache>
            </c:numRef>
          </c:yVal>
        </c:ser>
        <c:axId val="82875136"/>
        <c:axId val="82876672"/>
      </c:scatterChart>
      <c:valAx>
        <c:axId val="82875136"/>
        <c:scaling>
          <c:orientation val="minMax"/>
        </c:scaling>
        <c:axPos val="b"/>
        <c:numFmt formatCode="General" sourceLinked="1"/>
        <c:tickLblPos val="nextTo"/>
        <c:crossAx val="82876672"/>
        <c:crosses val="autoZero"/>
        <c:crossBetween val="midCat"/>
      </c:valAx>
      <c:valAx>
        <c:axId val="82876672"/>
        <c:scaling>
          <c:orientation val="minMax"/>
        </c:scaling>
        <c:axPos val="l"/>
        <c:majorGridlines/>
        <c:numFmt formatCode="General" sourceLinked="1"/>
        <c:tickLblPos val="nextTo"/>
        <c:crossAx val="828751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/>
    <c:plotArea>
      <c:layout>
        <c:manualLayout>
          <c:layoutTarget val="inner"/>
          <c:xMode val="edge"/>
          <c:yMode val="edge"/>
          <c:x val="0.12647491828594187"/>
          <c:y val="0.13852694339133562"/>
          <c:w val="0.73527133432645264"/>
          <c:h val="0.75454016396098633"/>
        </c:manualLayout>
      </c:layout>
      <c:scatterChart>
        <c:scatterStyle val="lineMarker"/>
        <c:ser>
          <c:idx val="0"/>
          <c:order val="0"/>
          <c:tx>
            <c:v>max height</c:v>
          </c:tx>
          <c:trendline>
            <c:trendlineType val="poly"/>
            <c:order val="4"/>
            <c:forward val="2"/>
            <c:backward val="2"/>
            <c:dispRSqr val="1"/>
            <c:dispEq val="1"/>
            <c:trendlineLbl>
              <c:layout>
                <c:manualLayout>
                  <c:x val="-0.11112064214426419"/>
                  <c:y val="-9.7792812935420206E-2"/>
                </c:manualLayout>
              </c:layout>
              <c:numFmt formatCode="General" sourceLinked="0"/>
            </c:trendlineLbl>
          </c:trendline>
          <c:xVal>
            <c:numRef>
              <c:f>'gerak (high)'!$D$79:$D$99</c:f>
              <c:numCache>
                <c:formatCode>General</c:formatCode>
                <c:ptCount val="21"/>
                <c:pt idx="0">
                  <c:v>15.727679999999999</c:v>
                </c:pt>
                <c:pt idx="1">
                  <c:v>15.5448</c:v>
                </c:pt>
                <c:pt idx="2">
                  <c:v>15.36192</c:v>
                </c:pt>
                <c:pt idx="3">
                  <c:v>15.179040000000001</c:v>
                </c:pt>
                <c:pt idx="4">
                  <c:v>14.996159999999998</c:v>
                </c:pt>
                <c:pt idx="5">
                  <c:v>14.813279999999999</c:v>
                </c:pt>
                <c:pt idx="6">
                  <c:v>14.6304</c:v>
                </c:pt>
                <c:pt idx="7">
                  <c:v>14.447520000000001</c:v>
                </c:pt>
                <c:pt idx="8">
                  <c:v>14.26464</c:v>
                </c:pt>
                <c:pt idx="9">
                  <c:v>14.081760000000001</c:v>
                </c:pt>
                <c:pt idx="10">
                  <c:v>13.89888</c:v>
                </c:pt>
                <c:pt idx="11">
                  <c:v>13.716000000000001</c:v>
                </c:pt>
                <c:pt idx="12">
                  <c:v>13.53312</c:v>
                </c:pt>
                <c:pt idx="13">
                  <c:v>13.350239999999999</c:v>
                </c:pt>
                <c:pt idx="14">
                  <c:v>13.16736</c:v>
                </c:pt>
                <c:pt idx="15">
                  <c:v>12.98448</c:v>
                </c:pt>
                <c:pt idx="16">
                  <c:v>12.801600000000001</c:v>
                </c:pt>
                <c:pt idx="17">
                  <c:v>12.618720000000001</c:v>
                </c:pt>
                <c:pt idx="18">
                  <c:v>12.435840000000001</c:v>
                </c:pt>
                <c:pt idx="19">
                  <c:v>12.25296</c:v>
                </c:pt>
                <c:pt idx="20">
                  <c:v>12.070080000000001</c:v>
                </c:pt>
              </c:numCache>
            </c:numRef>
          </c:xVal>
          <c:yVal>
            <c:numRef>
              <c:f>'gerak (high)'!$E$79:$E$99</c:f>
              <c:numCache>
                <c:formatCode>General</c:formatCode>
                <c:ptCount val="21"/>
                <c:pt idx="0">
                  <c:v>9.7347023999999998</c:v>
                </c:pt>
                <c:pt idx="1">
                  <c:v>9.6716087999999996</c:v>
                </c:pt>
                <c:pt idx="2">
                  <c:v>9.6088199999999997</c:v>
                </c:pt>
                <c:pt idx="3">
                  <c:v>9.5405447999999993</c:v>
                </c:pt>
                <c:pt idx="4">
                  <c:v>9.4698312000000016</c:v>
                </c:pt>
                <c:pt idx="5">
                  <c:v>9.3991176000000003</c:v>
                </c:pt>
                <c:pt idx="6">
                  <c:v>9.3201744000000009</c:v>
                </c:pt>
                <c:pt idx="7">
                  <c:v>9.2400120000000001</c:v>
                </c:pt>
                <c:pt idx="8">
                  <c:v>9.158020800000001</c:v>
                </c:pt>
                <c:pt idx="9">
                  <c:v>9.0665808000000006</c:v>
                </c:pt>
                <c:pt idx="10">
                  <c:v>8.9751408000000019</c:v>
                </c:pt>
                <c:pt idx="11">
                  <c:v>8.8769952000000014</c:v>
                </c:pt>
                <c:pt idx="12">
                  <c:v>8.7703152000000006</c:v>
                </c:pt>
                <c:pt idx="13">
                  <c:v>8.6636352000000016</c:v>
                </c:pt>
                <c:pt idx="14">
                  <c:v>8.5414104000000002</c:v>
                </c:pt>
                <c:pt idx="15">
                  <c:v>8.4130896000000011</c:v>
                </c:pt>
                <c:pt idx="16">
                  <c:v>8.2847688000000002</c:v>
                </c:pt>
                <c:pt idx="17">
                  <c:v>8.1195672000000005</c:v>
                </c:pt>
                <c:pt idx="18">
                  <c:v>7.9534512000000008</c:v>
                </c:pt>
                <c:pt idx="19">
                  <c:v>7.7730096000000009</c:v>
                </c:pt>
                <c:pt idx="20">
                  <c:v>7.547152800000001</c:v>
                </c:pt>
              </c:numCache>
            </c:numRef>
          </c:yVal>
        </c:ser>
        <c:axId val="82901632"/>
        <c:axId val="82968960"/>
      </c:scatterChart>
      <c:valAx>
        <c:axId val="82901632"/>
        <c:scaling>
          <c:orientation val="minMax"/>
          <c:max val="18"/>
          <c:min val="10"/>
        </c:scaling>
        <c:axPos val="b"/>
        <c:numFmt formatCode="General" sourceLinked="1"/>
        <c:tickLblPos val="nextTo"/>
        <c:crossAx val="82968960"/>
        <c:crosses val="autoZero"/>
        <c:crossBetween val="midCat"/>
      </c:valAx>
      <c:valAx>
        <c:axId val="82968960"/>
        <c:scaling>
          <c:orientation val="minMax"/>
        </c:scaling>
        <c:axPos val="l"/>
        <c:majorGridlines/>
        <c:numFmt formatCode="General" sourceLinked="1"/>
        <c:tickLblPos val="nextTo"/>
        <c:crossAx val="82901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5847528934143162"/>
          <c:y val="0.70229143579274811"/>
          <c:w val="0.28637560637560727"/>
          <c:h val="0.14883051462022792"/>
        </c:manualLayout>
      </c:layout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v>jarak -&gt; waktu</c:v>
          </c:tx>
          <c:trendline>
            <c:trendlineType val="poly"/>
            <c:order val="2"/>
            <c:forward val="5"/>
            <c:backward val="5000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'gerak (high)'!$D$27:$D$47</c:f>
              <c:numCache>
                <c:formatCode>General</c:formatCode>
                <c:ptCount val="21"/>
                <c:pt idx="0">
                  <c:v>12070.08</c:v>
                </c:pt>
                <c:pt idx="1">
                  <c:v>12252.96</c:v>
                </c:pt>
                <c:pt idx="2">
                  <c:v>12435.84</c:v>
                </c:pt>
                <c:pt idx="3">
                  <c:v>12618.720000000001</c:v>
                </c:pt>
                <c:pt idx="4">
                  <c:v>12801.6</c:v>
                </c:pt>
                <c:pt idx="5">
                  <c:v>12984.48</c:v>
                </c:pt>
                <c:pt idx="6">
                  <c:v>13167.36</c:v>
                </c:pt>
                <c:pt idx="7">
                  <c:v>13350.24</c:v>
                </c:pt>
                <c:pt idx="8">
                  <c:v>13533.12</c:v>
                </c:pt>
                <c:pt idx="9">
                  <c:v>13716</c:v>
                </c:pt>
                <c:pt idx="10">
                  <c:v>13898.88</c:v>
                </c:pt>
                <c:pt idx="11">
                  <c:v>14081.76</c:v>
                </c:pt>
                <c:pt idx="12">
                  <c:v>14264.64</c:v>
                </c:pt>
                <c:pt idx="13">
                  <c:v>14447.52</c:v>
                </c:pt>
                <c:pt idx="14">
                  <c:v>14630.4</c:v>
                </c:pt>
                <c:pt idx="15">
                  <c:v>14813.279999999999</c:v>
                </c:pt>
                <c:pt idx="16">
                  <c:v>14996.159999999998</c:v>
                </c:pt>
                <c:pt idx="17">
                  <c:v>15179.04</c:v>
                </c:pt>
                <c:pt idx="18">
                  <c:v>15361.92</c:v>
                </c:pt>
                <c:pt idx="19">
                  <c:v>15544.8</c:v>
                </c:pt>
                <c:pt idx="20">
                  <c:v>15727.679999999998</c:v>
                </c:pt>
              </c:numCache>
            </c:numRef>
          </c:xVal>
          <c:yVal>
            <c:numRef>
              <c:f>'gerak (high)'!$E$27:$E$47</c:f>
              <c:numCache>
                <c:formatCode>General</c:formatCode>
                <c:ptCount val="21"/>
                <c:pt idx="0">
                  <c:v>87.7</c:v>
                </c:pt>
                <c:pt idx="1">
                  <c:v>87.4</c:v>
                </c:pt>
                <c:pt idx="2">
                  <c:v>87.1</c:v>
                </c:pt>
                <c:pt idx="3">
                  <c:v>86.7</c:v>
                </c:pt>
                <c:pt idx="4">
                  <c:v>86.3</c:v>
                </c:pt>
                <c:pt idx="5">
                  <c:v>85.9</c:v>
                </c:pt>
                <c:pt idx="6">
                  <c:v>85.5</c:v>
                </c:pt>
                <c:pt idx="7">
                  <c:v>85.1</c:v>
                </c:pt>
                <c:pt idx="8">
                  <c:v>84.6</c:v>
                </c:pt>
                <c:pt idx="9">
                  <c:v>84.2</c:v>
                </c:pt>
                <c:pt idx="10">
                  <c:v>83.7</c:v>
                </c:pt>
                <c:pt idx="11">
                  <c:v>83.1</c:v>
                </c:pt>
                <c:pt idx="12">
                  <c:v>82.6</c:v>
                </c:pt>
                <c:pt idx="13">
                  <c:v>82</c:v>
                </c:pt>
                <c:pt idx="14">
                  <c:v>81.400000000000006</c:v>
                </c:pt>
                <c:pt idx="15">
                  <c:v>80.7</c:v>
                </c:pt>
                <c:pt idx="16">
                  <c:v>80.099999999999994</c:v>
                </c:pt>
                <c:pt idx="17">
                  <c:v>79.2</c:v>
                </c:pt>
                <c:pt idx="18">
                  <c:v>78.400000000000006</c:v>
                </c:pt>
                <c:pt idx="19">
                  <c:v>77.400000000000006</c:v>
                </c:pt>
                <c:pt idx="20">
                  <c:v>76.2</c:v>
                </c:pt>
              </c:numCache>
            </c:numRef>
          </c:yVal>
        </c:ser>
        <c:axId val="82998016"/>
        <c:axId val="82999552"/>
      </c:scatterChart>
      <c:valAx>
        <c:axId val="82998016"/>
        <c:scaling>
          <c:orientation val="minMax"/>
        </c:scaling>
        <c:axPos val="b"/>
        <c:numFmt formatCode="General" sourceLinked="1"/>
        <c:tickLblPos val="nextTo"/>
        <c:crossAx val="82999552"/>
        <c:crosses val="autoZero"/>
        <c:crossBetween val="midCat"/>
      </c:valAx>
      <c:valAx>
        <c:axId val="82999552"/>
        <c:scaling>
          <c:orientation val="minMax"/>
        </c:scaling>
        <c:axPos val="l"/>
        <c:majorGridlines/>
        <c:numFmt formatCode="General" sourceLinked="1"/>
        <c:tickLblPos val="nextTo"/>
        <c:crossAx val="829980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v>waktu -&gt; jarak</c:v>
          </c:tx>
          <c:trendline>
            <c:trendlineType val="poly"/>
            <c:order val="2"/>
            <c:forward val="5"/>
            <c:backward val="25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'gerak (high)'!$E$52:$E$72</c:f>
              <c:numCache>
                <c:formatCode>General</c:formatCode>
                <c:ptCount val="21"/>
                <c:pt idx="0">
                  <c:v>76.2</c:v>
                </c:pt>
                <c:pt idx="1">
                  <c:v>77.400000000000006</c:v>
                </c:pt>
                <c:pt idx="2">
                  <c:v>78.400000000000006</c:v>
                </c:pt>
                <c:pt idx="3">
                  <c:v>79.2</c:v>
                </c:pt>
                <c:pt idx="4">
                  <c:v>80.099999999999994</c:v>
                </c:pt>
                <c:pt idx="5">
                  <c:v>80.7</c:v>
                </c:pt>
                <c:pt idx="6">
                  <c:v>81.400000000000006</c:v>
                </c:pt>
                <c:pt idx="7">
                  <c:v>82</c:v>
                </c:pt>
                <c:pt idx="8">
                  <c:v>82.6</c:v>
                </c:pt>
                <c:pt idx="9">
                  <c:v>83.1</c:v>
                </c:pt>
                <c:pt idx="10">
                  <c:v>83.7</c:v>
                </c:pt>
                <c:pt idx="11">
                  <c:v>84.2</c:v>
                </c:pt>
                <c:pt idx="12">
                  <c:v>84.6</c:v>
                </c:pt>
                <c:pt idx="13">
                  <c:v>85.1</c:v>
                </c:pt>
                <c:pt idx="14">
                  <c:v>85.5</c:v>
                </c:pt>
                <c:pt idx="15">
                  <c:v>85.9</c:v>
                </c:pt>
                <c:pt idx="16">
                  <c:v>86.3</c:v>
                </c:pt>
                <c:pt idx="17">
                  <c:v>86.7</c:v>
                </c:pt>
                <c:pt idx="18">
                  <c:v>87.1</c:v>
                </c:pt>
                <c:pt idx="19">
                  <c:v>87.4</c:v>
                </c:pt>
                <c:pt idx="20">
                  <c:v>87.7</c:v>
                </c:pt>
              </c:numCache>
            </c:numRef>
          </c:xVal>
          <c:yVal>
            <c:numRef>
              <c:f>'gerak (high)'!$D$52:$D$72</c:f>
              <c:numCache>
                <c:formatCode>General</c:formatCode>
                <c:ptCount val="21"/>
                <c:pt idx="0">
                  <c:v>12070.08</c:v>
                </c:pt>
                <c:pt idx="1">
                  <c:v>12252.96</c:v>
                </c:pt>
                <c:pt idx="2">
                  <c:v>12435.84</c:v>
                </c:pt>
                <c:pt idx="3">
                  <c:v>12618.720000000001</c:v>
                </c:pt>
                <c:pt idx="4">
                  <c:v>12801.6</c:v>
                </c:pt>
                <c:pt idx="5">
                  <c:v>12984.48</c:v>
                </c:pt>
                <c:pt idx="6">
                  <c:v>13167.36</c:v>
                </c:pt>
                <c:pt idx="7">
                  <c:v>13350.24</c:v>
                </c:pt>
                <c:pt idx="8">
                  <c:v>13533.12</c:v>
                </c:pt>
                <c:pt idx="9">
                  <c:v>13716</c:v>
                </c:pt>
                <c:pt idx="10">
                  <c:v>13898.88</c:v>
                </c:pt>
                <c:pt idx="11">
                  <c:v>14081.76</c:v>
                </c:pt>
                <c:pt idx="12">
                  <c:v>14264.64</c:v>
                </c:pt>
                <c:pt idx="13">
                  <c:v>14447.52</c:v>
                </c:pt>
                <c:pt idx="14">
                  <c:v>14630.4</c:v>
                </c:pt>
                <c:pt idx="15">
                  <c:v>14813.279999999999</c:v>
                </c:pt>
                <c:pt idx="16">
                  <c:v>14996.159999999998</c:v>
                </c:pt>
                <c:pt idx="17">
                  <c:v>15179.04</c:v>
                </c:pt>
                <c:pt idx="18">
                  <c:v>15361.92</c:v>
                </c:pt>
                <c:pt idx="19">
                  <c:v>15544.8</c:v>
                </c:pt>
                <c:pt idx="20">
                  <c:v>15727.679999999998</c:v>
                </c:pt>
              </c:numCache>
            </c:numRef>
          </c:yVal>
        </c:ser>
        <c:axId val="83032704"/>
        <c:axId val="83042688"/>
      </c:scatterChart>
      <c:valAx>
        <c:axId val="83032704"/>
        <c:scaling>
          <c:orientation val="minMax"/>
        </c:scaling>
        <c:axPos val="b"/>
        <c:numFmt formatCode="General" sourceLinked="1"/>
        <c:tickLblPos val="nextTo"/>
        <c:crossAx val="83042688"/>
        <c:crosses val="autoZero"/>
        <c:crossBetween val="midCat"/>
      </c:valAx>
      <c:valAx>
        <c:axId val="83042688"/>
        <c:scaling>
          <c:orientation val="minMax"/>
        </c:scaling>
        <c:axPos val="l"/>
        <c:majorGridlines/>
        <c:numFmt formatCode="General" sourceLinked="1"/>
        <c:tickLblPos val="nextTo"/>
        <c:crossAx val="830327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>
        <c:manualLayout>
          <c:layoutTarget val="inner"/>
          <c:xMode val="edge"/>
          <c:yMode val="edge"/>
          <c:x val="9.1502187226596671E-2"/>
          <c:y val="0.20327323215032941"/>
          <c:w val="0.76458814523184548"/>
          <c:h val="0.63981437102970862"/>
        </c:manualLayout>
      </c:layout>
      <c:scatterChart>
        <c:scatterStyle val="lineMarker"/>
        <c:ser>
          <c:idx val="0"/>
          <c:order val="0"/>
          <c:tx>
            <c:v>elev to height</c:v>
          </c:tx>
          <c:trendline>
            <c:trendlineType val="poly"/>
            <c:order val="4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'gerak (high)'!$G$79:$G$99</c:f>
              <c:numCache>
                <c:formatCode>General</c:formatCode>
                <c:ptCount val="21"/>
                <c:pt idx="0">
                  <c:v>0.95105651629515364</c:v>
                </c:pt>
                <c:pt idx="1">
                  <c:v>0.93728198949189145</c:v>
                </c:pt>
                <c:pt idx="2">
                  <c:v>0.92454603361231313</c:v>
                </c:pt>
                <c:pt idx="3">
                  <c:v>0.91068366080617713</c:v>
                </c:pt>
                <c:pt idx="4">
                  <c:v>0.89725836967432848</c:v>
                </c:pt>
                <c:pt idx="5">
                  <c:v>0.88620357923121484</c:v>
                </c:pt>
                <c:pt idx="6">
                  <c:v>0.87292207726980953</c:v>
                </c:pt>
                <c:pt idx="7">
                  <c:v>0.86074202700394364</c:v>
                </c:pt>
                <c:pt idx="8">
                  <c:v>0.84804809615642607</c:v>
                </c:pt>
                <c:pt idx="9">
                  <c:v>0.83484786326340654</c:v>
                </c:pt>
                <c:pt idx="10">
                  <c:v>0.82313636853444205</c:v>
                </c:pt>
                <c:pt idx="11">
                  <c:v>0.81106381898932656</c:v>
                </c:pt>
                <c:pt idx="12">
                  <c:v>0.79863551004729272</c:v>
                </c:pt>
                <c:pt idx="13">
                  <c:v>0.78585689317540208</c:v>
                </c:pt>
                <c:pt idx="14">
                  <c:v>0.77494448870417987</c:v>
                </c:pt>
                <c:pt idx="15">
                  <c:v>0.76153830753673668</c:v>
                </c:pt>
                <c:pt idx="16">
                  <c:v>0.75011106963045937</c:v>
                </c:pt>
                <c:pt idx="17">
                  <c:v>0.7384553406258838</c:v>
                </c:pt>
                <c:pt idx="18">
                  <c:v>0.72657467097097594</c:v>
                </c:pt>
                <c:pt idx="19">
                  <c:v>0.71447267963280325</c:v>
                </c:pt>
                <c:pt idx="20">
                  <c:v>0.69966334051336565</c:v>
                </c:pt>
              </c:numCache>
            </c:numRef>
          </c:xVal>
          <c:yVal>
            <c:numRef>
              <c:f>'gerak (high)'!$E$79:$E$99</c:f>
              <c:numCache>
                <c:formatCode>General</c:formatCode>
                <c:ptCount val="21"/>
                <c:pt idx="0">
                  <c:v>9.7347023999999998</c:v>
                </c:pt>
                <c:pt idx="1">
                  <c:v>9.6716087999999996</c:v>
                </c:pt>
                <c:pt idx="2">
                  <c:v>9.6088199999999997</c:v>
                </c:pt>
                <c:pt idx="3">
                  <c:v>9.5405447999999993</c:v>
                </c:pt>
                <c:pt idx="4">
                  <c:v>9.4698312000000016</c:v>
                </c:pt>
                <c:pt idx="5">
                  <c:v>9.3991176000000003</c:v>
                </c:pt>
                <c:pt idx="6">
                  <c:v>9.3201744000000009</c:v>
                </c:pt>
                <c:pt idx="7">
                  <c:v>9.2400120000000001</c:v>
                </c:pt>
                <c:pt idx="8">
                  <c:v>9.158020800000001</c:v>
                </c:pt>
                <c:pt idx="9">
                  <c:v>9.0665808000000006</c:v>
                </c:pt>
                <c:pt idx="10">
                  <c:v>8.9751408000000019</c:v>
                </c:pt>
                <c:pt idx="11">
                  <c:v>8.8769952000000014</c:v>
                </c:pt>
                <c:pt idx="12">
                  <c:v>8.7703152000000006</c:v>
                </c:pt>
                <c:pt idx="13">
                  <c:v>8.6636352000000016</c:v>
                </c:pt>
                <c:pt idx="14">
                  <c:v>8.5414104000000002</c:v>
                </c:pt>
                <c:pt idx="15">
                  <c:v>8.4130896000000011</c:v>
                </c:pt>
                <c:pt idx="16">
                  <c:v>8.2847688000000002</c:v>
                </c:pt>
                <c:pt idx="17">
                  <c:v>8.1195672000000005</c:v>
                </c:pt>
                <c:pt idx="18">
                  <c:v>7.9534512000000008</c:v>
                </c:pt>
                <c:pt idx="19">
                  <c:v>7.7730096000000009</c:v>
                </c:pt>
                <c:pt idx="20">
                  <c:v>7.547152800000001</c:v>
                </c:pt>
              </c:numCache>
            </c:numRef>
          </c:yVal>
        </c:ser>
        <c:axId val="83084032"/>
        <c:axId val="83085568"/>
      </c:scatterChart>
      <c:valAx>
        <c:axId val="83084032"/>
        <c:scaling>
          <c:orientation val="minMax"/>
        </c:scaling>
        <c:axPos val="b"/>
        <c:numFmt formatCode="General" sourceLinked="1"/>
        <c:tickLblPos val="nextTo"/>
        <c:crossAx val="83085568"/>
        <c:crosses val="autoZero"/>
        <c:crossBetween val="midCat"/>
      </c:valAx>
      <c:valAx>
        <c:axId val="83085568"/>
        <c:scaling>
          <c:orientation val="minMax"/>
        </c:scaling>
        <c:axPos val="l"/>
        <c:majorGridlines/>
        <c:numFmt formatCode="General" sourceLinked="1"/>
        <c:tickLblPos val="nextTo"/>
        <c:crossAx val="830840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>
        <c:manualLayout>
          <c:layoutTarget val="inner"/>
          <c:xMode val="edge"/>
          <c:yMode val="edge"/>
          <c:x val="7.4011904024268896E-2"/>
          <c:y val="0.16231592546258822"/>
          <c:w val="0.83262121638308351"/>
          <c:h val="0.69030768350217964"/>
        </c:manualLayout>
      </c:layout>
      <c:scatterChart>
        <c:scatterStyle val="lineMarker"/>
        <c:ser>
          <c:idx val="0"/>
          <c:order val="0"/>
          <c:tx>
            <c:v>move</c:v>
          </c:tx>
          <c:spPr>
            <a:ln w="28575">
              <a:noFill/>
            </a:ln>
          </c:spPr>
          <c:xVal>
            <c:numRef>
              <c:f>gabung!$B$11:$B$49</c:f>
              <c:numCache>
                <c:formatCode>General</c:formatCode>
                <c:ptCount val="39"/>
                <c:pt idx="0">
                  <c:v>0</c:v>
                </c:pt>
                <c:pt idx="1">
                  <c:v>1.1000000000000001</c:v>
                </c:pt>
                <c:pt idx="2">
                  <c:v>2.2999999999999998</c:v>
                </c:pt>
                <c:pt idx="3">
                  <c:v>3.7</c:v>
                </c:pt>
                <c:pt idx="4">
                  <c:v>5.4</c:v>
                </c:pt>
                <c:pt idx="5">
                  <c:v>7.3</c:v>
                </c:pt>
                <c:pt idx="6">
                  <c:v>9.6</c:v>
                </c:pt>
                <c:pt idx="7">
                  <c:v>12.2</c:v>
                </c:pt>
                <c:pt idx="8">
                  <c:v>15.2</c:v>
                </c:pt>
                <c:pt idx="9">
                  <c:v>18.3</c:v>
                </c:pt>
                <c:pt idx="10">
                  <c:v>21.5</c:v>
                </c:pt>
                <c:pt idx="11">
                  <c:v>25</c:v>
                </c:pt>
                <c:pt idx="12">
                  <c:v>28.8</c:v>
                </c:pt>
                <c:pt idx="13">
                  <c:v>32.799999999999997</c:v>
                </c:pt>
                <c:pt idx="14">
                  <c:v>37.200000000000003</c:v>
                </c:pt>
                <c:pt idx="15">
                  <c:v>42.2</c:v>
                </c:pt>
                <c:pt idx="16">
                  <c:v>48</c:v>
                </c:pt>
                <c:pt idx="17">
                  <c:v>55.8</c:v>
                </c:pt>
                <c:pt idx="18">
                  <c:v>87.7</c:v>
                </c:pt>
                <c:pt idx="19">
                  <c:v>87.4</c:v>
                </c:pt>
                <c:pt idx="20">
                  <c:v>87.1</c:v>
                </c:pt>
                <c:pt idx="21">
                  <c:v>86.7</c:v>
                </c:pt>
                <c:pt idx="22">
                  <c:v>86.3</c:v>
                </c:pt>
                <c:pt idx="23">
                  <c:v>85.9</c:v>
                </c:pt>
                <c:pt idx="24">
                  <c:v>85.5</c:v>
                </c:pt>
                <c:pt idx="25">
                  <c:v>85.1</c:v>
                </c:pt>
                <c:pt idx="26">
                  <c:v>84.6</c:v>
                </c:pt>
                <c:pt idx="27">
                  <c:v>84.2</c:v>
                </c:pt>
                <c:pt idx="28">
                  <c:v>83.7</c:v>
                </c:pt>
                <c:pt idx="29">
                  <c:v>83.1</c:v>
                </c:pt>
                <c:pt idx="30">
                  <c:v>82.6</c:v>
                </c:pt>
                <c:pt idx="31">
                  <c:v>82</c:v>
                </c:pt>
                <c:pt idx="32">
                  <c:v>81.400000000000006</c:v>
                </c:pt>
                <c:pt idx="33">
                  <c:v>80.7</c:v>
                </c:pt>
                <c:pt idx="34">
                  <c:v>80.099999999999994</c:v>
                </c:pt>
                <c:pt idx="35">
                  <c:v>79.2</c:v>
                </c:pt>
                <c:pt idx="36">
                  <c:v>78.400000000000006</c:v>
                </c:pt>
                <c:pt idx="37">
                  <c:v>77.400000000000006</c:v>
                </c:pt>
                <c:pt idx="38">
                  <c:v>76.2</c:v>
                </c:pt>
              </c:numCache>
            </c:numRef>
          </c:xVal>
          <c:yVal>
            <c:numRef>
              <c:f>gabung!$C$11:$C$49</c:f>
              <c:numCache>
                <c:formatCode>General</c:formatCode>
                <c:ptCount val="39"/>
                <c:pt idx="0">
                  <c:v>0</c:v>
                </c:pt>
                <c:pt idx="1">
                  <c:v>914.4</c:v>
                </c:pt>
                <c:pt idx="2">
                  <c:v>1828.8</c:v>
                </c:pt>
                <c:pt idx="3">
                  <c:v>2743.2</c:v>
                </c:pt>
                <c:pt idx="4">
                  <c:v>3657.6</c:v>
                </c:pt>
                <c:pt idx="5">
                  <c:v>4572</c:v>
                </c:pt>
                <c:pt idx="6">
                  <c:v>5486.4</c:v>
                </c:pt>
                <c:pt idx="7">
                  <c:v>6400.8</c:v>
                </c:pt>
                <c:pt idx="8">
                  <c:v>7315.2</c:v>
                </c:pt>
                <c:pt idx="9">
                  <c:v>8229.6</c:v>
                </c:pt>
                <c:pt idx="10">
                  <c:v>9144</c:v>
                </c:pt>
                <c:pt idx="11">
                  <c:v>10058.4</c:v>
                </c:pt>
                <c:pt idx="12">
                  <c:v>10972.8</c:v>
                </c:pt>
                <c:pt idx="13">
                  <c:v>11887.199999999999</c:v>
                </c:pt>
                <c:pt idx="14">
                  <c:v>12801.6</c:v>
                </c:pt>
                <c:pt idx="15">
                  <c:v>13716</c:v>
                </c:pt>
                <c:pt idx="16">
                  <c:v>14630.4</c:v>
                </c:pt>
                <c:pt idx="17">
                  <c:v>15544.8</c:v>
                </c:pt>
                <c:pt idx="18">
                  <c:v>12070.08</c:v>
                </c:pt>
                <c:pt idx="19">
                  <c:v>12252.96</c:v>
                </c:pt>
                <c:pt idx="20">
                  <c:v>12435.84</c:v>
                </c:pt>
                <c:pt idx="21">
                  <c:v>12618.720000000001</c:v>
                </c:pt>
                <c:pt idx="22">
                  <c:v>12801.6</c:v>
                </c:pt>
                <c:pt idx="23">
                  <c:v>12984.48</c:v>
                </c:pt>
                <c:pt idx="24">
                  <c:v>13167.36</c:v>
                </c:pt>
                <c:pt idx="25">
                  <c:v>13350.24</c:v>
                </c:pt>
                <c:pt idx="26">
                  <c:v>13533.12</c:v>
                </c:pt>
                <c:pt idx="27">
                  <c:v>13716</c:v>
                </c:pt>
                <c:pt idx="28">
                  <c:v>13898.88</c:v>
                </c:pt>
                <c:pt idx="29">
                  <c:v>14081.76</c:v>
                </c:pt>
                <c:pt idx="30">
                  <c:v>14264.64</c:v>
                </c:pt>
                <c:pt idx="31">
                  <c:v>14447.52</c:v>
                </c:pt>
                <c:pt idx="32">
                  <c:v>14630.4</c:v>
                </c:pt>
                <c:pt idx="33">
                  <c:v>14813.279999999999</c:v>
                </c:pt>
                <c:pt idx="34">
                  <c:v>14996.159999999998</c:v>
                </c:pt>
                <c:pt idx="35">
                  <c:v>15179.04</c:v>
                </c:pt>
                <c:pt idx="36">
                  <c:v>15361.92</c:v>
                </c:pt>
                <c:pt idx="37">
                  <c:v>15544.8</c:v>
                </c:pt>
                <c:pt idx="38">
                  <c:v>15727.679999999998</c:v>
                </c:pt>
              </c:numCache>
            </c:numRef>
          </c:yVal>
        </c:ser>
        <c:axId val="83109376"/>
        <c:axId val="83110912"/>
      </c:scatterChart>
      <c:valAx>
        <c:axId val="83109376"/>
        <c:scaling>
          <c:orientation val="minMax"/>
        </c:scaling>
        <c:axPos val="b"/>
        <c:numFmt formatCode="General" sourceLinked="1"/>
        <c:tickLblPos val="nextTo"/>
        <c:crossAx val="83110912"/>
        <c:crosses val="autoZero"/>
        <c:crossBetween val="midCat"/>
      </c:valAx>
      <c:valAx>
        <c:axId val="83110912"/>
        <c:scaling>
          <c:orientation val="minMax"/>
        </c:scaling>
        <c:axPos val="l"/>
        <c:majorGridlines/>
        <c:numFmt formatCode="General" sourceLinked="1"/>
        <c:tickLblPos val="nextTo"/>
        <c:crossAx val="8310937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>
        <c:manualLayout>
          <c:layoutTarget val="inner"/>
          <c:xMode val="edge"/>
          <c:yMode val="edge"/>
          <c:x val="9.7646503864436296E-2"/>
          <c:y val="0.1857332119199388"/>
          <c:w val="0.84882414698162734"/>
          <c:h val="0.67797025371828712"/>
        </c:manualLayout>
      </c:layout>
      <c:scatterChart>
        <c:scatterStyle val="lineMarker"/>
        <c:ser>
          <c:idx val="0"/>
          <c:order val="0"/>
          <c:tx>
            <c:v>sin 2a</c:v>
          </c:tx>
          <c:spPr>
            <a:ln w="28575">
              <a:noFill/>
            </a:ln>
          </c:spPr>
          <c:xVal>
            <c:numRef>
              <c:f>gabung!$D$11:$D$49</c:f>
              <c:numCache>
                <c:formatCode>General</c:formatCode>
                <c:ptCount val="39"/>
                <c:pt idx="0">
                  <c:v>0</c:v>
                </c:pt>
                <c:pt idx="1">
                  <c:v>0.3</c:v>
                </c:pt>
                <c:pt idx="2">
                  <c:v>0.8</c:v>
                </c:pt>
                <c:pt idx="3">
                  <c:v>1.3</c:v>
                </c:pt>
                <c:pt idx="4">
                  <c:v>1.9</c:v>
                </c:pt>
                <c:pt idx="5">
                  <c:v>2.6</c:v>
                </c:pt>
                <c:pt idx="6">
                  <c:v>3.6</c:v>
                </c:pt>
                <c:pt idx="7">
                  <c:v>4.8</c:v>
                </c:pt>
                <c:pt idx="8">
                  <c:v>6.3</c:v>
                </c:pt>
                <c:pt idx="9">
                  <c:v>8</c:v>
                </c:pt>
                <c:pt idx="10">
                  <c:v>10.1</c:v>
                </c:pt>
                <c:pt idx="11">
                  <c:v>12.3</c:v>
                </c:pt>
                <c:pt idx="12">
                  <c:v>14.9</c:v>
                </c:pt>
                <c:pt idx="13">
                  <c:v>17.8</c:v>
                </c:pt>
                <c:pt idx="14">
                  <c:v>21</c:v>
                </c:pt>
                <c:pt idx="15">
                  <c:v>24.8</c:v>
                </c:pt>
                <c:pt idx="16">
                  <c:v>29.4</c:v>
                </c:pt>
                <c:pt idx="17">
                  <c:v>35.9</c:v>
                </c:pt>
                <c:pt idx="18">
                  <c:v>54</c:v>
                </c:pt>
                <c:pt idx="19">
                  <c:v>55.2</c:v>
                </c:pt>
                <c:pt idx="20">
                  <c:v>56.2</c:v>
                </c:pt>
                <c:pt idx="21">
                  <c:v>57.2</c:v>
                </c:pt>
                <c:pt idx="22">
                  <c:v>58.1</c:v>
                </c:pt>
                <c:pt idx="23">
                  <c:v>58.8</c:v>
                </c:pt>
                <c:pt idx="24">
                  <c:v>59.6</c:v>
                </c:pt>
                <c:pt idx="25">
                  <c:v>60.3</c:v>
                </c:pt>
                <c:pt idx="26">
                  <c:v>61</c:v>
                </c:pt>
                <c:pt idx="27">
                  <c:v>61.7</c:v>
                </c:pt>
                <c:pt idx="28">
                  <c:v>62.3</c:v>
                </c:pt>
                <c:pt idx="29">
                  <c:v>62.9</c:v>
                </c:pt>
                <c:pt idx="30">
                  <c:v>63.5</c:v>
                </c:pt>
                <c:pt idx="31">
                  <c:v>64.099999999999994</c:v>
                </c:pt>
                <c:pt idx="32">
                  <c:v>64.599999999999994</c:v>
                </c:pt>
                <c:pt idx="33">
                  <c:v>65.2</c:v>
                </c:pt>
                <c:pt idx="34">
                  <c:v>65.7</c:v>
                </c:pt>
                <c:pt idx="35">
                  <c:v>66.2</c:v>
                </c:pt>
                <c:pt idx="36">
                  <c:v>66.7</c:v>
                </c:pt>
                <c:pt idx="37">
                  <c:v>67.2</c:v>
                </c:pt>
                <c:pt idx="38">
                  <c:v>67.8</c:v>
                </c:pt>
              </c:numCache>
            </c:numRef>
          </c:xVal>
          <c:yVal>
            <c:numRef>
              <c:f>gabung!$F$11:$F$49</c:f>
              <c:numCache>
                <c:formatCode>General</c:formatCode>
                <c:ptCount val="39"/>
                <c:pt idx="0">
                  <c:v>0</c:v>
                </c:pt>
                <c:pt idx="1">
                  <c:v>1.0471784116245792E-2</c:v>
                </c:pt>
                <c:pt idx="2">
                  <c:v>2.7921638723568881E-2</c:v>
                </c:pt>
                <c:pt idx="3">
                  <c:v>4.5362988129253781E-2</c:v>
                </c:pt>
                <c:pt idx="4">
                  <c:v>6.6273900400000141E-2</c:v>
                </c:pt>
                <c:pt idx="5">
                  <c:v>9.0632580197780158E-2</c:v>
                </c:pt>
                <c:pt idx="6">
                  <c:v>0.12533323356430426</c:v>
                </c:pt>
                <c:pt idx="7">
                  <c:v>0.16676874671610226</c:v>
                </c:pt>
                <c:pt idx="8">
                  <c:v>0.21814324139654254</c:v>
                </c:pt>
                <c:pt idx="9">
                  <c:v>0.27563735581699916</c:v>
                </c:pt>
                <c:pt idx="10">
                  <c:v>0.34529819899853464</c:v>
                </c:pt>
                <c:pt idx="11">
                  <c:v>0.41628079226040121</c:v>
                </c:pt>
                <c:pt idx="12">
                  <c:v>0.49697396102755537</c:v>
                </c:pt>
                <c:pt idx="13">
                  <c:v>0.58212297015728942</c:v>
                </c:pt>
                <c:pt idx="14">
                  <c:v>0.66913060635885824</c:v>
                </c:pt>
                <c:pt idx="15">
                  <c:v>0.76153830753673668</c:v>
                </c:pt>
                <c:pt idx="16">
                  <c:v>0.8553642601605066</c:v>
                </c:pt>
                <c:pt idx="17">
                  <c:v>0.94997205152465247</c:v>
                </c:pt>
                <c:pt idx="18">
                  <c:v>0.95105651629515364</c:v>
                </c:pt>
                <c:pt idx="19">
                  <c:v>0.93728198949189145</c:v>
                </c:pt>
                <c:pt idx="20">
                  <c:v>0.92454603361231313</c:v>
                </c:pt>
                <c:pt idx="21">
                  <c:v>0.91068366080617713</c:v>
                </c:pt>
                <c:pt idx="22">
                  <c:v>0.89725836967432848</c:v>
                </c:pt>
                <c:pt idx="23">
                  <c:v>0.88620357923121484</c:v>
                </c:pt>
                <c:pt idx="24">
                  <c:v>0.87292207726980953</c:v>
                </c:pt>
                <c:pt idx="25">
                  <c:v>0.86074202700394364</c:v>
                </c:pt>
                <c:pt idx="26">
                  <c:v>0.84804809615642607</c:v>
                </c:pt>
                <c:pt idx="27">
                  <c:v>0.83484786326340654</c:v>
                </c:pt>
                <c:pt idx="28">
                  <c:v>0.82313636853444205</c:v>
                </c:pt>
                <c:pt idx="29">
                  <c:v>0.81106381898932656</c:v>
                </c:pt>
                <c:pt idx="30">
                  <c:v>0.79863551004729272</c:v>
                </c:pt>
                <c:pt idx="31">
                  <c:v>0.78585689317540208</c:v>
                </c:pt>
                <c:pt idx="32">
                  <c:v>0.77494448870417987</c:v>
                </c:pt>
                <c:pt idx="33">
                  <c:v>0.76153830753673668</c:v>
                </c:pt>
                <c:pt idx="34">
                  <c:v>0.75011106963045937</c:v>
                </c:pt>
                <c:pt idx="35">
                  <c:v>0.7384553406258838</c:v>
                </c:pt>
                <c:pt idx="36">
                  <c:v>0.72657467097097594</c:v>
                </c:pt>
                <c:pt idx="37">
                  <c:v>0.71447267963280325</c:v>
                </c:pt>
                <c:pt idx="38">
                  <c:v>0.69966334051336565</c:v>
                </c:pt>
              </c:numCache>
            </c:numRef>
          </c:yVal>
        </c:ser>
        <c:axId val="83155584"/>
        <c:axId val="83173760"/>
      </c:scatterChart>
      <c:valAx>
        <c:axId val="83155584"/>
        <c:scaling>
          <c:orientation val="minMax"/>
        </c:scaling>
        <c:axPos val="b"/>
        <c:numFmt formatCode="General" sourceLinked="1"/>
        <c:tickLblPos val="nextTo"/>
        <c:crossAx val="83173760"/>
        <c:crosses val="autoZero"/>
        <c:crossBetween val="midCat"/>
      </c:valAx>
      <c:valAx>
        <c:axId val="83173760"/>
        <c:scaling>
          <c:orientation val="minMax"/>
        </c:scaling>
        <c:axPos val="l"/>
        <c:majorGridlines/>
        <c:numFmt formatCode="General" sourceLinked="1"/>
        <c:tickLblPos val="nextTo"/>
        <c:crossAx val="8315558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gif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gif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</xdr:row>
      <xdr:rowOff>133350</xdr:rowOff>
    </xdr:from>
    <xdr:to>
      <xdr:col>12</xdr:col>
      <xdr:colOff>409575</xdr:colOff>
      <xdr:row>19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24</xdr:row>
      <xdr:rowOff>57150</xdr:rowOff>
    </xdr:from>
    <xdr:to>
      <xdr:col>12</xdr:col>
      <xdr:colOff>352425</xdr:colOff>
      <xdr:row>38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466725</xdr:colOff>
      <xdr:row>27</xdr:row>
      <xdr:rowOff>19050</xdr:rowOff>
    </xdr:from>
    <xdr:to>
      <xdr:col>26</xdr:col>
      <xdr:colOff>161925</xdr:colOff>
      <xdr:row>41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123824</xdr:colOff>
      <xdr:row>3</xdr:row>
      <xdr:rowOff>28574</xdr:rowOff>
    </xdr:from>
    <xdr:to>
      <xdr:col>24</xdr:col>
      <xdr:colOff>161925</xdr:colOff>
      <xdr:row>19</xdr:row>
      <xdr:rowOff>190499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4</xdr:row>
      <xdr:rowOff>19050</xdr:rowOff>
    </xdr:from>
    <xdr:to>
      <xdr:col>21</xdr:col>
      <xdr:colOff>19050</xdr:colOff>
      <xdr:row>34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57149</xdr:colOff>
      <xdr:row>43</xdr:row>
      <xdr:rowOff>66674</xdr:rowOff>
    </xdr:from>
    <xdr:to>
      <xdr:col>15</xdr:col>
      <xdr:colOff>238125</xdr:colOff>
      <xdr:row>65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104775</xdr:colOff>
      <xdr:row>86</xdr:row>
      <xdr:rowOff>123825</xdr:rowOff>
    </xdr:from>
    <xdr:to>
      <xdr:col>17</xdr:col>
      <xdr:colOff>371475</xdr:colOff>
      <xdr:row>115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3</xdr:col>
      <xdr:colOff>76200</xdr:colOff>
      <xdr:row>19</xdr:row>
      <xdr:rowOff>57150</xdr:rowOff>
    </xdr:to>
    <xdr:pic>
      <xdr:nvPicPr>
        <xdr:cNvPr id="4097" name="Picture 1" descr="http://2.bp.blogspot.com/_IL_hvTz-W_E/TLsMzRwk8eI/AAAAAAAABBQ/bwJ-rrIT-O4/s1600/CodeCogsEqn%286%29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3238500"/>
          <a:ext cx="1323975" cy="4381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3</xdr:col>
      <xdr:colOff>47625</xdr:colOff>
      <xdr:row>25</xdr:row>
      <xdr:rowOff>28575</xdr:rowOff>
    </xdr:to>
    <xdr:pic>
      <xdr:nvPicPr>
        <xdr:cNvPr id="4098" name="Picture 2" descr="http://1.bp.blogspot.com/_IL_hvTz-W_E/TLsNXdDnMoI/AAAAAAAABBU/z5c2BGZyR0E/s1600/CodeCogsEqn%288%29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9600" y="4381500"/>
          <a:ext cx="1295400" cy="409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447675</xdr:colOff>
      <xdr:row>30</xdr:row>
      <xdr:rowOff>161925</xdr:rowOff>
    </xdr:to>
    <xdr:pic>
      <xdr:nvPicPr>
        <xdr:cNvPr id="4099" name="Picture 3" descr="http://1.bp.blogspot.com/_IL_hvTz-W_E/TLsNyDyfEPI/AAAAAAAABBY/NNx8vRjReA0/s1600/CodeCogsEqn%2810%29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" y="5334000"/>
          <a:ext cx="1085850" cy="542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381000</xdr:colOff>
      <xdr:row>35</xdr:row>
      <xdr:rowOff>180975</xdr:rowOff>
    </xdr:to>
    <xdr:pic>
      <xdr:nvPicPr>
        <xdr:cNvPr id="4100" name="Picture 4" descr="http://1.bp.blogspot.com/_IL_hvTz-W_E/TLsOJTBvH0I/AAAAAAAABBc/7BCPuxTIKHI/s1600/CodeCogsEqn%2811%29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09600" y="6477000"/>
          <a:ext cx="1019175" cy="3714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3</xdr:col>
      <xdr:colOff>85725</xdr:colOff>
      <xdr:row>42</xdr:row>
      <xdr:rowOff>57150</xdr:rowOff>
    </xdr:to>
    <xdr:pic>
      <xdr:nvPicPr>
        <xdr:cNvPr id="4101" name="Picture 5" descr="http://1.bp.blogspot.com/_IL_hvTz-W_E/TLsObOlR87I/AAAAAAAABBg/CuaEMZ6dv58/s1600/CodeCogsEqn%287%29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09600" y="7620000"/>
          <a:ext cx="1333500" cy="4381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3</xdr:col>
      <xdr:colOff>133350</xdr:colOff>
      <xdr:row>48</xdr:row>
      <xdr:rowOff>28575</xdr:rowOff>
    </xdr:to>
    <xdr:pic>
      <xdr:nvPicPr>
        <xdr:cNvPr id="4102" name="Picture 6" descr="http://2.bp.blogspot.com/_IL_hvTz-W_E/TLsPqDBazgI/AAAAAAAABBk/5WdFF9fPuWw/s1600/CodeCogsEqn%289%29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09600" y="8763000"/>
          <a:ext cx="1381125" cy="4095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43</xdr:row>
      <xdr:rowOff>28575</xdr:rowOff>
    </xdr:from>
    <xdr:to>
      <xdr:col>15</xdr:col>
      <xdr:colOff>0</xdr:colOff>
      <xdr:row>60</xdr:row>
      <xdr:rowOff>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64</xdr:row>
      <xdr:rowOff>180974</xdr:rowOff>
    </xdr:from>
    <xdr:to>
      <xdr:col>15</xdr:col>
      <xdr:colOff>47625</xdr:colOff>
      <xdr:row>82</xdr:row>
      <xdr:rowOff>57149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123824</xdr:colOff>
      <xdr:row>4</xdr:row>
      <xdr:rowOff>28574</xdr:rowOff>
    </xdr:from>
    <xdr:to>
      <xdr:col>27</xdr:col>
      <xdr:colOff>161925</xdr:colOff>
      <xdr:row>20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590549</xdr:colOff>
      <xdr:row>23</xdr:row>
      <xdr:rowOff>0</xdr:rowOff>
    </xdr:from>
    <xdr:to>
      <xdr:col>15</xdr:col>
      <xdr:colOff>9525</xdr:colOff>
      <xdr:row>39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457200</xdr:colOff>
      <xdr:row>43</xdr:row>
      <xdr:rowOff>28574</xdr:rowOff>
    </xdr:from>
    <xdr:to>
      <xdr:col>26</xdr:col>
      <xdr:colOff>142875</xdr:colOff>
      <xdr:row>60</xdr:row>
      <xdr:rowOff>19049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528637</xdr:colOff>
      <xdr:row>3</xdr:row>
      <xdr:rowOff>11906</xdr:rowOff>
    </xdr:from>
    <xdr:to>
      <xdr:col>14</xdr:col>
      <xdr:colOff>333375</xdr:colOff>
      <xdr:row>18</xdr:row>
      <xdr:rowOff>166687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95250</xdr:colOff>
      <xdr:row>64</xdr:row>
      <xdr:rowOff>114300</xdr:rowOff>
    </xdr:from>
    <xdr:to>
      <xdr:col>29</xdr:col>
      <xdr:colOff>133350</xdr:colOff>
      <xdr:row>81</xdr:row>
      <xdr:rowOff>180975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0</xdr:colOff>
      <xdr:row>85</xdr:row>
      <xdr:rowOff>0</xdr:rowOff>
    </xdr:from>
    <xdr:to>
      <xdr:col>21</xdr:col>
      <xdr:colOff>109537</xdr:colOff>
      <xdr:row>87</xdr:row>
      <xdr:rowOff>57150</xdr:rowOff>
    </xdr:to>
    <xdr:pic>
      <xdr:nvPicPr>
        <xdr:cNvPr id="10" name="Picture 1" descr="http://2.bp.blogspot.com/_IL_hvTz-W_E/TLsMzRwk8eI/AAAAAAAABBQ/bwJ-rrIT-O4/s1600/CodeCogsEqn%286%29.gif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1572875" y="16192500"/>
          <a:ext cx="1323975" cy="4381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104775</xdr:colOff>
      <xdr:row>117</xdr:row>
      <xdr:rowOff>47625</xdr:rowOff>
    </xdr:from>
    <xdr:to>
      <xdr:col>25</xdr:col>
      <xdr:colOff>533401</xdr:colOff>
      <xdr:row>131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115</xdr:row>
      <xdr:rowOff>142875</xdr:rowOff>
    </xdr:from>
    <xdr:to>
      <xdr:col>17</xdr:col>
      <xdr:colOff>295275</xdr:colOff>
      <xdr:row>135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57151</xdr:colOff>
      <xdr:row>4</xdr:row>
      <xdr:rowOff>19050</xdr:rowOff>
    </xdr:from>
    <xdr:to>
      <xdr:col>25</xdr:col>
      <xdr:colOff>495299</xdr:colOff>
      <xdr:row>18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19049</xdr:colOff>
      <xdr:row>72</xdr:row>
      <xdr:rowOff>19049</xdr:rowOff>
    </xdr:from>
    <xdr:to>
      <xdr:col>14</xdr:col>
      <xdr:colOff>666750</xdr:colOff>
      <xdr:row>88</xdr:row>
      <xdr:rowOff>180974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581025</xdr:colOff>
      <xdr:row>4</xdr:row>
      <xdr:rowOff>19050</xdr:rowOff>
    </xdr:from>
    <xdr:to>
      <xdr:col>13</xdr:col>
      <xdr:colOff>571501</xdr:colOff>
      <xdr:row>20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28575</xdr:colOff>
      <xdr:row>25</xdr:row>
      <xdr:rowOff>9525</xdr:rowOff>
    </xdr:from>
    <xdr:to>
      <xdr:col>13</xdr:col>
      <xdr:colOff>104775</xdr:colOff>
      <xdr:row>41</xdr:row>
      <xdr:rowOff>152400</xdr:rowOff>
    </xdr:to>
    <xdr:graphicFrame macro="">
      <xdr:nvGraphicFramePr>
        <xdr:cNvPr id="97" name="Chart 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47626</xdr:colOff>
      <xdr:row>46</xdr:row>
      <xdr:rowOff>161925</xdr:rowOff>
    </xdr:from>
    <xdr:to>
      <xdr:col>16</xdr:col>
      <xdr:colOff>47626</xdr:colOff>
      <xdr:row>65</xdr:row>
      <xdr:rowOff>0</xdr:rowOff>
    </xdr:to>
    <xdr:graphicFrame macro="">
      <xdr:nvGraphicFramePr>
        <xdr:cNvPr id="98" name="Chart 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447675</xdr:colOff>
      <xdr:row>141</xdr:row>
      <xdr:rowOff>9525</xdr:rowOff>
    </xdr:from>
    <xdr:to>
      <xdr:col>14</xdr:col>
      <xdr:colOff>142875</xdr:colOff>
      <xdr:row>151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4</xdr:row>
      <xdr:rowOff>19050</xdr:rowOff>
    </xdr:from>
    <xdr:to>
      <xdr:col>13</xdr:col>
      <xdr:colOff>285750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4</xdr:row>
      <xdr:rowOff>0</xdr:rowOff>
    </xdr:from>
    <xdr:to>
      <xdr:col>22</xdr:col>
      <xdr:colOff>295275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26</xdr:row>
      <xdr:rowOff>9525</xdr:rowOff>
    </xdr:from>
    <xdr:to>
      <xdr:col>22</xdr:col>
      <xdr:colOff>323850</xdr:colOff>
      <xdr:row>40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390524</xdr:colOff>
      <xdr:row>78</xdr:row>
      <xdr:rowOff>47624</xdr:rowOff>
    </xdr:from>
    <xdr:to>
      <xdr:col>23</xdr:col>
      <xdr:colOff>95249</xdr:colOff>
      <xdr:row>94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581025</xdr:colOff>
      <xdr:row>26</xdr:row>
      <xdr:rowOff>66675</xdr:rowOff>
    </xdr:from>
    <xdr:to>
      <xdr:col>13</xdr:col>
      <xdr:colOff>276225</xdr:colOff>
      <xdr:row>40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571500</xdr:colOff>
      <xdr:row>51</xdr:row>
      <xdr:rowOff>19050</xdr:rowOff>
    </xdr:from>
    <xdr:to>
      <xdr:col>15</xdr:col>
      <xdr:colOff>266700</xdr:colOff>
      <xdr:row>65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561975</xdr:colOff>
      <xdr:row>78</xdr:row>
      <xdr:rowOff>47624</xdr:rowOff>
    </xdr:from>
    <xdr:to>
      <xdr:col>15</xdr:col>
      <xdr:colOff>257175</xdr:colOff>
      <xdr:row>94</xdr:row>
      <xdr:rowOff>95249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571498</xdr:colOff>
      <xdr:row>1</xdr:row>
      <xdr:rowOff>85725</xdr:rowOff>
    </xdr:from>
    <xdr:to>
      <xdr:col>23</xdr:col>
      <xdr:colOff>380999</xdr:colOff>
      <xdr:row>17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76199</xdr:colOff>
      <xdr:row>29</xdr:row>
      <xdr:rowOff>180975</xdr:rowOff>
    </xdr:from>
    <xdr:to>
      <xdr:col>19</xdr:col>
      <xdr:colOff>180974</xdr:colOff>
      <xdr:row>44</xdr:row>
      <xdr:rowOff>123825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1</xdr:row>
      <xdr:rowOff>47625</xdr:rowOff>
    </xdr:from>
    <xdr:to>
      <xdr:col>3</xdr:col>
      <xdr:colOff>123825</xdr:colOff>
      <xdr:row>3</xdr:row>
      <xdr:rowOff>104775</xdr:rowOff>
    </xdr:to>
    <xdr:pic>
      <xdr:nvPicPr>
        <xdr:cNvPr id="2049" name="Picture 1" descr="http://1.bp.blogspot.com/_IL_hvTz-W_E/TLsObOlR87I/AAAAAAAABBg/CuaEMZ6dv58/s1600/CodeCogsEqn%287%29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28725" y="9763125"/>
          <a:ext cx="1333500" cy="438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133350</xdr:colOff>
      <xdr:row>62</xdr:row>
      <xdr:rowOff>57150</xdr:rowOff>
    </xdr:from>
    <xdr:to>
      <xdr:col>5</xdr:col>
      <xdr:colOff>609600</xdr:colOff>
      <xdr:row>65</xdr:row>
      <xdr:rowOff>28575</xdr:rowOff>
    </xdr:to>
    <xdr:pic>
      <xdr:nvPicPr>
        <xdr:cNvPr id="2050" name="Picture 2" descr="http://1.bp.blogspot.com/_IL_hvTz-W_E/TLsNyDyfEPI/AAAAAAAABBY/NNx8vRjReA0/s1600/CodeCogsEqn%2810%29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71750" y="11868150"/>
          <a:ext cx="1085850" cy="54292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192571</xdr:colOff>
      <xdr:row>10</xdr:row>
      <xdr:rowOff>64294</xdr:rowOff>
    </xdr:from>
    <xdr:to>
      <xdr:col>2</xdr:col>
      <xdr:colOff>457200</xdr:colOff>
      <xdr:row>12</xdr:row>
      <xdr:rowOff>60567</xdr:rowOff>
    </xdr:to>
    <xdr:sp macro="" textlink="">
      <xdr:nvSpPr>
        <xdr:cNvPr id="2" name="Rectangle 1"/>
        <xdr:cNvSpPr/>
      </xdr:nvSpPr>
      <xdr:spPr>
        <a:xfrm>
          <a:off x="192571" y="1969294"/>
          <a:ext cx="874229" cy="37727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max range</a:t>
          </a:r>
        </a:p>
      </xdr:txBody>
    </xdr:sp>
    <xdr:clientData/>
  </xdr:twoCellAnchor>
  <xdr:twoCellAnchor>
    <xdr:from>
      <xdr:col>7</xdr:col>
      <xdr:colOff>17808</xdr:colOff>
      <xdr:row>7</xdr:row>
      <xdr:rowOff>23916</xdr:rowOff>
    </xdr:from>
    <xdr:to>
      <xdr:col>8</xdr:col>
      <xdr:colOff>285750</xdr:colOff>
      <xdr:row>8</xdr:row>
      <xdr:rowOff>185841</xdr:rowOff>
    </xdr:to>
    <xdr:sp macro="" textlink="">
      <xdr:nvSpPr>
        <xdr:cNvPr id="3" name="Rectangle 2"/>
        <xdr:cNvSpPr/>
      </xdr:nvSpPr>
      <xdr:spPr>
        <a:xfrm>
          <a:off x="3675408" y="1357416"/>
          <a:ext cx="877542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elevation</a:t>
          </a:r>
        </a:p>
      </xdr:txBody>
    </xdr:sp>
    <xdr:clientData/>
  </xdr:twoCellAnchor>
  <xdr:twoCellAnchor>
    <xdr:from>
      <xdr:col>7</xdr:col>
      <xdr:colOff>9525</xdr:colOff>
      <xdr:row>10</xdr:row>
      <xdr:rowOff>86760</xdr:rowOff>
    </xdr:from>
    <xdr:to>
      <xdr:col>8</xdr:col>
      <xdr:colOff>309563</xdr:colOff>
      <xdr:row>12</xdr:row>
      <xdr:rowOff>54873</xdr:rowOff>
    </xdr:to>
    <xdr:sp macro="" textlink="">
      <xdr:nvSpPr>
        <xdr:cNvPr id="4" name="Rectangle 3"/>
        <xdr:cNvSpPr/>
      </xdr:nvSpPr>
      <xdr:spPr>
        <a:xfrm>
          <a:off x="3667125" y="1991760"/>
          <a:ext cx="909638" cy="3491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max time </a:t>
          </a:r>
        </a:p>
        <a:p>
          <a:pPr algn="ctr"/>
          <a:r>
            <a:rPr lang="en-US" sz="1100"/>
            <a:t>(TOF)</a:t>
          </a:r>
        </a:p>
      </xdr:txBody>
    </xdr:sp>
    <xdr:clientData/>
  </xdr:twoCellAnchor>
  <xdr:twoCellAnchor>
    <xdr:from>
      <xdr:col>2</xdr:col>
      <xdr:colOff>457200</xdr:colOff>
      <xdr:row>8</xdr:row>
      <xdr:rowOff>36909</xdr:rowOff>
    </xdr:from>
    <xdr:to>
      <xdr:col>3</xdr:col>
      <xdr:colOff>459581</xdr:colOff>
      <xdr:row>11</xdr:row>
      <xdr:rowOff>62431</xdr:rowOff>
    </xdr:to>
    <xdr:cxnSp macro="">
      <xdr:nvCxnSpPr>
        <xdr:cNvPr id="5" name="Straight Arrow Connector 4"/>
        <xdr:cNvCxnSpPr>
          <a:stCxn id="2" idx="3"/>
          <a:endCxn id="22" idx="2"/>
        </xdr:cNvCxnSpPr>
      </xdr:nvCxnSpPr>
      <xdr:spPr>
        <a:xfrm flipV="1">
          <a:off x="1066800" y="1560909"/>
          <a:ext cx="611981" cy="59702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</xdr:colOff>
      <xdr:row>14</xdr:row>
      <xdr:rowOff>30956</xdr:rowOff>
    </xdr:from>
    <xdr:to>
      <xdr:col>8</xdr:col>
      <xdr:colOff>297657</xdr:colOff>
      <xdr:row>16</xdr:row>
      <xdr:rowOff>2381</xdr:rowOff>
    </xdr:to>
    <xdr:sp macro="" textlink="">
      <xdr:nvSpPr>
        <xdr:cNvPr id="6" name="Rectangle 5"/>
        <xdr:cNvSpPr/>
      </xdr:nvSpPr>
      <xdr:spPr>
        <a:xfrm>
          <a:off x="3676649" y="2697956"/>
          <a:ext cx="888208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max height</a:t>
          </a:r>
        </a:p>
      </xdr:txBody>
    </xdr:sp>
    <xdr:clientData/>
  </xdr:twoCellAnchor>
  <xdr:twoCellAnchor>
    <xdr:from>
      <xdr:col>2</xdr:col>
      <xdr:colOff>457200</xdr:colOff>
      <xdr:row>11</xdr:row>
      <xdr:rowOff>62431</xdr:rowOff>
    </xdr:from>
    <xdr:to>
      <xdr:col>3</xdr:col>
      <xdr:colOff>509587</xdr:colOff>
      <xdr:row>11</xdr:row>
      <xdr:rowOff>75010</xdr:rowOff>
    </xdr:to>
    <xdr:cxnSp macro="">
      <xdr:nvCxnSpPr>
        <xdr:cNvPr id="7" name="Straight Arrow Connector 6"/>
        <xdr:cNvCxnSpPr>
          <a:stCxn id="2" idx="3"/>
          <a:endCxn id="21" idx="2"/>
        </xdr:cNvCxnSpPr>
      </xdr:nvCxnSpPr>
      <xdr:spPr>
        <a:xfrm>
          <a:off x="1066800" y="2157931"/>
          <a:ext cx="661987" cy="125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11</xdr:row>
      <xdr:rowOff>62431</xdr:rowOff>
    </xdr:from>
    <xdr:to>
      <xdr:col>3</xdr:col>
      <xdr:colOff>392906</xdr:colOff>
      <xdr:row>15</xdr:row>
      <xdr:rowOff>11906</xdr:rowOff>
    </xdr:to>
    <xdr:cxnSp macro="">
      <xdr:nvCxnSpPr>
        <xdr:cNvPr id="8" name="Straight Arrow Connector 7"/>
        <xdr:cNvCxnSpPr>
          <a:stCxn id="2" idx="3"/>
          <a:endCxn id="20" idx="2"/>
        </xdr:cNvCxnSpPr>
      </xdr:nvCxnSpPr>
      <xdr:spPr>
        <a:xfrm>
          <a:off x="1066800" y="2157931"/>
          <a:ext cx="545306" cy="71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24849</xdr:colOff>
      <xdr:row>7</xdr:row>
      <xdr:rowOff>10767</xdr:rowOff>
    </xdr:from>
    <xdr:to>
      <xdr:col>11</xdr:col>
      <xdr:colOff>59532</xdr:colOff>
      <xdr:row>9</xdr:row>
      <xdr:rowOff>0</xdr:rowOff>
    </xdr:to>
    <xdr:sp macro="" textlink="">
      <xdr:nvSpPr>
        <xdr:cNvPr id="9" name="Rectangle 8"/>
        <xdr:cNvSpPr/>
      </xdr:nvSpPr>
      <xdr:spPr>
        <a:xfrm>
          <a:off x="5511249" y="1344267"/>
          <a:ext cx="644283" cy="370233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time</a:t>
          </a:r>
        </a:p>
      </xdr:txBody>
    </xdr:sp>
    <xdr:clientData/>
  </xdr:twoCellAnchor>
  <xdr:twoCellAnchor>
    <xdr:from>
      <xdr:col>14</xdr:col>
      <xdr:colOff>41516</xdr:colOff>
      <xdr:row>6</xdr:row>
      <xdr:rowOff>165443</xdr:rowOff>
    </xdr:from>
    <xdr:to>
      <xdr:col>15</xdr:col>
      <xdr:colOff>497059</xdr:colOff>
      <xdr:row>8</xdr:row>
      <xdr:rowOff>180767</xdr:rowOff>
    </xdr:to>
    <xdr:sp macro="" textlink="">
      <xdr:nvSpPr>
        <xdr:cNvPr id="10" name="Rectangle 9"/>
        <xdr:cNvSpPr/>
      </xdr:nvSpPr>
      <xdr:spPr>
        <a:xfrm>
          <a:off x="7966316" y="1308443"/>
          <a:ext cx="1065143" cy="39632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range</a:t>
          </a:r>
        </a:p>
      </xdr:txBody>
    </xdr:sp>
    <xdr:clientData/>
  </xdr:twoCellAnchor>
  <xdr:twoCellAnchor>
    <xdr:from>
      <xdr:col>11</xdr:col>
      <xdr:colOff>59532</xdr:colOff>
      <xdr:row>8</xdr:row>
      <xdr:rowOff>5384</xdr:rowOff>
    </xdr:from>
    <xdr:to>
      <xdr:col>11</xdr:col>
      <xdr:colOff>583404</xdr:colOff>
      <xdr:row>8</xdr:row>
      <xdr:rowOff>29765</xdr:rowOff>
    </xdr:to>
    <xdr:cxnSp macro="">
      <xdr:nvCxnSpPr>
        <xdr:cNvPr id="11" name="Straight Arrow Connector 10"/>
        <xdr:cNvCxnSpPr>
          <a:stCxn id="9" idx="3"/>
          <a:endCxn id="26" idx="2"/>
        </xdr:cNvCxnSpPr>
      </xdr:nvCxnSpPr>
      <xdr:spPr>
        <a:xfrm>
          <a:off x="6155532" y="1529384"/>
          <a:ext cx="523872" cy="243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523874</xdr:colOff>
      <xdr:row>15</xdr:row>
      <xdr:rowOff>11906</xdr:rowOff>
    </xdr:from>
    <xdr:to>
      <xdr:col>7</xdr:col>
      <xdr:colOff>19049</xdr:colOff>
      <xdr:row>15</xdr:row>
      <xdr:rowOff>16669</xdr:rowOff>
    </xdr:to>
    <xdr:cxnSp macro="">
      <xdr:nvCxnSpPr>
        <xdr:cNvPr id="12" name="Straight Arrow Connector 11"/>
        <xdr:cNvCxnSpPr>
          <a:stCxn id="20" idx="6"/>
          <a:endCxn id="6" idx="1"/>
        </xdr:cNvCxnSpPr>
      </xdr:nvCxnSpPr>
      <xdr:spPr>
        <a:xfrm>
          <a:off x="2962274" y="2869406"/>
          <a:ext cx="714375" cy="47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297657</xdr:colOff>
      <xdr:row>14</xdr:row>
      <xdr:rowOff>183475</xdr:rowOff>
    </xdr:from>
    <xdr:to>
      <xdr:col>12</xdr:col>
      <xdr:colOff>158074</xdr:colOff>
      <xdr:row>15</xdr:row>
      <xdr:rowOff>16669</xdr:rowOff>
    </xdr:to>
    <xdr:cxnSp macro="">
      <xdr:nvCxnSpPr>
        <xdr:cNvPr id="13" name="Straight Arrow Connector 12"/>
        <xdr:cNvCxnSpPr>
          <a:stCxn id="6" idx="3"/>
          <a:endCxn id="25" idx="3"/>
        </xdr:cNvCxnSpPr>
      </xdr:nvCxnSpPr>
      <xdr:spPr>
        <a:xfrm flipV="1">
          <a:off x="4564857" y="2850475"/>
          <a:ext cx="2298817" cy="236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32094</xdr:colOff>
      <xdr:row>13</xdr:row>
      <xdr:rowOff>9527</xdr:rowOff>
    </xdr:from>
    <xdr:to>
      <xdr:col>15</xdr:col>
      <xdr:colOff>555969</xdr:colOff>
      <xdr:row>15</xdr:row>
      <xdr:rowOff>9527</xdr:rowOff>
    </xdr:to>
    <xdr:sp macro="" textlink="">
      <xdr:nvSpPr>
        <xdr:cNvPr id="14" name="Rectangle 13"/>
        <xdr:cNvSpPr/>
      </xdr:nvSpPr>
      <xdr:spPr>
        <a:xfrm>
          <a:off x="7956894" y="2486027"/>
          <a:ext cx="1133475" cy="3810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height</a:t>
          </a:r>
        </a:p>
      </xdr:txBody>
    </xdr:sp>
    <xdr:clientData/>
  </xdr:twoCellAnchor>
  <xdr:twoCellAnchor>
    <xdr:from>
      <xdr:col>11</xdr:col>
      <xdr:colOff>59532</xdr:colOff>
      <xdr:row>8</xdr:row>
      <xdr:rowOff>5384</xdr:rowOff>
    </xdr:from>
    <xdr:to>
      <xdr:col>12</xdr:col>
      <xdr:colOff>158074</xdr:colOff>
      <xdr:row>12</xdr:row>
      <xdr:rowOff>185619</xdr:rowOff>
    </xdr:to>
    <xdr:cxnSp macro="">
      <xdr:nvCxnSpPr>
        <xdr:cNvPr id="15" name="Straight Arrow Connector 14"/>
        <xdr:cNvCxnSpPr>
          <a:stCxn id="9" idx="3"/>
          <a:endCxn id="25" idx="1"/>
        </xdr:cNvCxnSpPr>
      </xdr:nvCxnSpPr>
      <xdr:spPr>
        <a:xfrm>
          <a:off x="6155532" y="1529384"/>
          <a:ext cx="708142" cy="9422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333377</xdr:colOff>
      <xdr:row>13</xdr:row>
      <xdr:rowOff>184547</xdr:rowOff>
    </xdr:from>
    <xdr:to>
      <xdr:col>14</xdr:col>
      <xdr:colOff>32094</xdr:colOff>
      <xdr:row>14</xdr:row>
      <xdr:rowOff>9527</xdr:rowOff>
    </xdr:to>
    <xdr:cxnSp macro="">
      <xdr:nvCxnSpPr>
        <xdr:cNvPr id="16" name="Straight Arrow Connector 15"/>
        <xdr:cNvCxnSpPr>
          <a:stCxn id="25" idx="6"/>
          <a:endCxn id="14" idx="1"/>
        </xdr:cNvCxnSpPr>
      </xdr:nvCxnSpPr>
      <xdr:spPr>
        <a:xfrm>
          <a:off x="7648577" y="2661047"/>
          <a:ext cx="308317" cy="154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23811</xdr:colOff>
      <xdr:row>4</xdr:row>
      <xdr:rowOff>154780</xdr:rowOff>
    </xdr:from>
    <xdr:to>
      <xdr:col>15</xdr:col>
      <xdr:colOff>500062</xdr:colOff>
      <xdr:row>5</xdr:row>
      <xdr:rowOff>178594</xdr:rowOff>
    </xdr:to>
    <xdr:sp macro="" textlink="">
      <xdr:nvSpPr>
        <xdr:cNvPr id="17" name="Rectangle 16"/>
        <xdr:cNvSpPr/>
      </xdr:nvSpPr>
      <xdr:spPr>
        <a:xfrm>
          <a:off x="7948611" y="916780"/>
          <a:ext cx="1085851" cy="21431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position</a:t>
          </a:r>
        </a:p>
      </xdr:txBody>
    </xdr:sp>
    <xdr:clientData/>
  </xdr:twoCellAnchor>
  <xdr:twoCellAnchor>
    <xdr:from>
      <xdr:col>1</xdr:col>
      <xdr:colOff>273844</xdr:colOff>
      <xdr:row>1</xdr:row>
      <xdr:rowOff>154781</xdr:rowOff>
    </xdr:from>
    <xdr:to>
      <xdr:col>6</xdr:col>
      <xdr:colOff>583406</xdr:colOff>
      <xdr:row>3</xdr:row>
      <xdr:rowOff>154781</xdr:rowOff>
    </xdr:to>
    <xdr:sp macro="" textlink="">
      <xdr:nvSpPr>
        <xdr:cNvPr id="18" name="Right Arrow 17"/>
        <xdr:cNvSpPr/>
      </xdr:nvSpPr>
      <xdr:spPr>
        <a:xfrm>
          <a:off x="273844" y="345281"/>
          <a:ext cx="3357562" cy="381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preparation</a:t>
          </a:r>
        </a:p>
      </xdr:txBody>
    </xdr:sp>
    <xdr:clientData/>
  </xdr:twoCellAnchor>
  <xdr:twoCellAnchor>
    <xdr:from>
      <xdr:col>10</xdr:col>
      <xdr:colOff>35718</xdr:colOff>
      <xdr:row>2</xdr:row>
      <xdr:rowOff>47625</xdr:rowOff>
    </xdr:from>
    <xdr:to>
      <xdr:col>14</xdr:col>
      <xdr:colOff>66675</xdr:colOff>
      <xdr:row>3</xdr:row>
      <xdr:rowOff>154781</xdr:rowOff>
    </xdr:to>
    <xdr:sp macro="" textlink="">
      <xdr:nvSpPr>
        <xdr:cNvPr id="19" name="Right Arrow 18"/>
        <xdr:cNvSpPr/>
      </xdr:nvSpPr>
      <xdr:spPr>
        <a:xfrm>
          <a:off x="6131718" y="428625"/>
          <a:ext cx="2469357" cy="29765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running</a:t>
          </a:r>
        </a:p>
      </xdr:txBody>
    </xdr:sp>
    <xdr:clientData/>
  </xdr:twoCellAnchor>
  <xdr:twoCellAnchor>
    <xdr:from>
      <xdr:col>3</xdr:col>
      <xdr:colOff>392906</xdr:colOff>
      <xdr:row>13</xdr:row>
      <xdr:rowOff>154780</xdr:rowOff>
    </xdr:from>
    <xdr:to>
      <xdr:col>5</xdr:col>
      <xdr:colOff>523874</xdr:colOff>
      <xdr:row>16</xdr:row>
      <xdr:rowOff>59531</xdr:rowOff>
    </xdr:to>
    <xdr:sp macro="" textlink="">
      <xdr:nvSpPr>
        <xdr:cNvPr id="20" name="Oval 19"/>
        <xdr:cNvSpPr/>
      </xdr:nvSpPr>
      <xdr:spPr>
        <a:xfrm>
          <a:off x="1612106" y="2631280"/>
          <a:ext cx="1350168" cy="476251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rangeToMaxHeight</a:t>
          </a:r>
        </a:p>
      </xdr:txBody>
    </xdr:sp>
    <xdr:clientData/>
  </xdr:twoCellAnchor>
  <xdr:twoCellAnchor>
    <xdr:from>
      <xdr:col>3</xdr:col>
      <xdr:colOff>509587</xdr:colOff>
      <xdr:row>10</xdr:row>
      <xdr:rowOff>21432</xdr:rowOff>
    </xdr:from>
    <xdr:to>
      <xdr:col>5</xdr:col>
      <xdr:colOff>307180</xdr:colOff>
      <xdr:row>12</xdr:row>
      <xdr:rowOff>128588</xdr:rowOff>
    </xdr:to>
    <xdr:sp macro="" textlink="">
      <xdr:nvSpPr>
        <xdr:cNvPr id="21" name="Oval 20"/>
        <xdr:cNvSpPr/>
      </xdr:nvSpPr>
      <xdr:spPr>
        <a:xfrm>
          <a:off x="1728787" y="1926432"/>
          <a:ext cx="1016793" cy="488156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rangeTomaxTime</a:t>
          </a:r>
        </a:p>
      </xdr:txBody>
    </xdr:sp>
    <xdr:clientData/>
  </xdr:twoCellAnchor>
  <xdr:twoCellAnchor>
    <xdr:from>
      <xdr:col>3</xdr:col>
      <xdr:colOff>459581</xdr:colOff>
      <xdr:row>6</xdr:row>
      <xdr:rowOff>173831</xdr:rowOff>
    </xdr:from>
    <xdr:to>
      <xdr:col>5</xdr:col>
      <xdr:colOff>257175</xdr:colOff>
      <xdr:row>9</xdr:row>
      <xdr:rowOff>90487</xdr:rowOff>
    </xdr:to>
    <xdr:sp macro="" textlink="">
      <xdr:nvSpPr>
        <xdr:cNvPr id="22" name="Oval 21"/>
        <xdr:cNvSpPr/>
      </xdr:nvSpPr>
      <xdr:spPr>
        <a:xfrm>
          <a:off x="1678781" y="1316831"/>
          <a:ext cx="1016794" cy="488156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rangeToelev</a:t>
          </a:r>
        </a:p>
      </xdr:txBody>
    </xdr:sp>
    <xdr:clientData/>
  </xdr:twoCellAnchor>
  <xdr:twoCellAnchor>
    <xdr:from>
      <xdr:col>5</xdr:col>
      <xdr:colOff>257175</xdr:colOff>
      <xdr:row>8</xdr:row>
      <xdr:rowOff>9629</xdr:rowOff>
    </xdr:from>
    <xdr:to>
      <xdr:col>7</xdr:col>
      <xdr:colOff>17808</xdr:colOff>
      <xdr:row>8</xdr:row>
      <xdr:rowOff>36909</xdr:rowOff>
    </xdr:to>
    <xdr:cxnSp macro="">
      <xdr:nvCxnSpPr>
        <xdr:cNvPr id="23" name="Straight Arrow Connector 22"/>
        <xdr:cNvCxnSpPr>
          <a:stCxn id="22" idx="6"/>
          <a:endCxn id="3" idx="1"/>
        </xdr:cNvCxnSpPr>
      </xdr:nvCxnSpPr>
      <xdr:spPr>
        <a:xfrm flipV="1">
          <a:off x="2695575" y="1533629"/>
          <a:ext cx="979833" cy="272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307180</xdr:colOff>
      <xdr:row>11</xdr:row>
      <xdr:rowOff>70817</xdr:rowOff>
    </xdr:from>
    <xdr:to>
      <xdr:col>7</xdr:col>
      <xdr:colOff>9525</xdr:colOff>
      <xdr:row>11</xdr:row>
      <xdr:rowOff>75010</xdr:rowOff>
    </xdr:to>
    <xdr:cxnSp macro="">
      <xdr:nvCxnSpPr>
        <xdr:cNvPr id="24" name="Straight Arrow Connector 23"/>
        <xdr:cNvCxnSpPr>
          <a:stCxn id="21" idx="6"/>
          <a:endCxn id="4" idx="1"/>
        </xdr:cNvCxnSpPr>
      </xdr:nvCxnSpPr>
      <xdr:spPr>
        <a:xfrm flipV="1">
          <a:off x="2745580" y="2166317"/>
          <a:ext cx="921545" cy="41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23814</xdr:colOff>
      <xdr:row>12</xdr:row>
      <xdr:rowOff>107156</xdr:rowOff>
    </xdr:from>
    <xdr:to>
      <xdr:col>13</xdr:col>
      <xdr:colOff>333377</xdr:colOff>
      <xdr:row>15</xdr:row>
      <xdr:rowOff>71438</xdr:rowOff>
    </xdr:to>
    <xdr:sp macro="" textlink="">
      <xdr:nvSpPr>
        <xdr:cNvPr id="25" name="Oval 24"/>
        <xdr:cNvSpPr/>
      </xdr:nvSpPr>
      <xdr:spPr>
        <a:xfrm>
          <a:off x="6729414" y="2393156"/>
          <a:ext cx="919163" cy="535782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timeToHeight</a:t>
          </a:r>
        </a:p>
      </xdr:txBody>
    </xdr:sp>
    <xdr:clientData/>
  </xdr:twoCellAnchor>
  <xdr:twoCellAnchor>
    <xdr:from>
      <xdr:col>11</xdr:col>
      <xdr:colOff>583404</xdr:colOff>
      <xdr:row>6</xdr:row>
      <xdr:rowOff>142874</xdr:rowOff>
    </xdr:from>
    <xdr:to>
      <xdr:col>13</xdr:col>
      <xdr:colOff>285749</xdr:colOff>
      <xdr:row>9</xdr:row>
      <xdr:rowOff>107156</xdr:rowOff>
    </xdr:to>
    <xdr:sp macro="" textlink="">
      <xdr:nvSpPr>
        <xdr:cNvPr id="26" name="Oval 25"/>
        <xdr:cNvSpPr/>
      </xdr:nvSpPr>
      <xdr:spPr>
        <a:xfrm>
          <a:off x="6679404" y="1285874"/>
          <a:ext cx="921545" cy="535782"/>
        </a:xfrm>
        <a:prstGeom prst="ellipse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timeToRange</a:t>
          </a:r>
        </a:p>
      </xdr:txBody>
    </xdr:sp>
    <xdr:clientData/>
  </xdr:twoCellAnchor>
  <xdr:twoCellAnchor>
    <xdr:from>
      <xdr:col>8</xdr:col>
      <xdr:colOff>309563</xdr:colOff>
      <xdr:row>11</xdr:row>
      <xdr:rowOff>70817</xdr:rowOff>
    </xdr:from>
    <xdr:to>
      <xdr:col>12</xdr:col>
      <xdr:colOff>23814</xdr:colOff>
      <xdr:row>13</xdr:row>
      <xdr:rowOff>184547</xdr:rowOff>
    </xdr:to>
    <xdr:cxnSp macro="">
      <xdr:nvCxnSpPr>
        <xdr:cNvPr id="27" name="Straight Arrow Connector 26"/>
        <xdr:cNvCxnSpPr>
          <a:stCxn id="4" idx="3"/>
          <a:endCxn id="25" idx="2"/>
        </xdr:cNvCxnSpPr>
      </xdr:nvCxnSpPr>
      <xdr:spPr>
        <a:xfrm>
          <a:off x="4576763" y="2166317"/>
          <a:ext cx="2152651" cy="49473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285749</xdr:colOff>
      <xdr:row>7</xdr:row>
      <xdr:rowOff>173105</xdr:rowOff>
    </xdr:from>
    <xdr:to>
      <xdr:col>14</xdr:col>
      <xdr:colOff>41516</xdr:colOff>
      <xdr:row>8</xdr:row>
      <xdr:rowOff>29765</xdr:rowOff>
    </xdr:to>
    <xdr:cxnSp macro="">
      <xdr:nvCxnSpPr>
        <xdr:cNvPr id="28" name="Straight Arrow Connector 27"/>
        <xdr:cNvCxnSpPr>
          <a:stCxn id="26" idx="6"/>
          <a:endCxn id="10" idx="1"/>
        </xdr:cNvCxnSpPr>
      </xdr:nvCxnSpPr>
      <xdr:spPr>
        <a:xfrm flipV="1">
          <a:off x="7600949" y="1506605"/>
          <a:ext cx="365367" cy="471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40"/>
  <sheetViews>
    <sheetView workbookViewId="0">
      <selection activeCell="E50" sqref="E50"/>
    </sheetView>
  </sheetViews>
  <sheetFormatPr defaultRowHeight="15"/>
  <cols>
    <col min="6" max="6" width="11.85546875" customWidth="1"/>
    <col min="7" max="7" width="15.28515625" customWidth="1"/>
  </cols>
  <sheetData>
    <row r="2" spans="2:16">
      <c r="B2">
        <f>B19*6000</f>
        <v>51000</v>
      </c>
      <c r="C2" t="s">
        <v>0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2:16">
      <c r="B3">
        <v>0.5</v>
      </c>
      <c r="D3">
        <f>B3*1828.8</f>
        <v>914.4</v>
      </c>
      <c r="E3">
        <v>1.1000000000000001</v>
      </c>
      <c r="F3">
        <v>0.3</v>
      </c>
      <c r="G3">
        <v>5</v>
      </c>
      <c r="I3">
        <f>D3/E3</f>
        <v>831.27272727272714</v>
      </c>
      <c r="J3">
        <f>1000*1000</f>
        <v>1000000</v>
      </c>
      <c r="K3">
        <f>SIN(2*(RADIANS(F3)))</f>
        <v>1.0471784116245792E-2</v>
      </c>
      <c r="L3">
        <v>9.8000000000000007</v>
      </c>
      <c r="M3">
        <f>J3*K3</f>
        <v>10471.784116245792</v>
      </c>
      <c r="N3">
        <f>M3/L3</f>
        <v>1068.5493996169175</v>
      </c>
      <c r="P3">
        <f>N3-D3</f>
        <v>154.14939961691755</v>
      </c>
    </row>
    <row r="4" spans="2:16">
      <c r="B4">
        <f>B3+0.5</f>
        <v>1</v>
      </c>
      <c r="D4">
        <f t="shared" ref="D4:D19" si="0">B4*1828.8</f>
        <v>1828.8</v>
      </c>
      <c r="E4">
        <v>2.2999999999999998</v>
      </c>
      <c r="F4">
        <v>0.8</v>
      </c>
      <c r="G4">
        <v>22</v>
      </c>
      <c r="I4">
        <f t="shared" ref="I4:I19" si="1">D4/E4</f>
        <v>795.13043478260875</v>
      </c>
      <c r="J4">
        <f t="shared" ref="J4:J19" si="2">900*900</f>
        <v>810000</v>
      </c>
      <c r="K4">
        <f t="shared" ref="K4:K19" si="3">SIN(2*(RADIANS(F4)))</f>
        <v>2.7921638723568881E-2</v>
      </c>
      <c r="L4">
        <v>9.8000000000000007</v>
      </c>
      <c r="M4">
        <f t="shared" ref="M4:M19" si="4">J4*K4</f>
        <v>22616.527366090791</v>
      </c>
      <c r="N4">
        <f t="shared" ref="N4:N19" si="5">M4/L4</f>
        <v>2307.8089149072234</v>
      </c>
      <c r="P4">
        <f t="shared" ref="P4:P19" si="6">N4-D4</f>
        <v>479.00891490722347</v>
      </c>
    </row>
    <row r="5" spans="2:16">
      <c r="B5">
        <f t="shared" ref="B5:B19" si="7">B4+0.5</f>
        <v>1.5</v>
      </c>
      <c r="D5">
        <f t="shared" si="0"/>
        <v>2743.2</v>
      </c>
      <c r="E5">
        <v>3.7</v>
      </c>
      <c r="F5">
        <v>1.3</v>
      </c>
      <c r="G5">
        <v>57</v>
      </c>
      <c r="I5">
        <f t="shared" si="1"/>
        <v>741.4054054054053</v>
      </c>
      <c r="J5">
        <f t="shared" si="2"/>
        <v>810000</v>
      </c>
      <c r="K5">
        <f t="shared" si="3"/>
        <v>4.5362988129253781E-2</v>
      </c>
      <c r="L5">
        <v>9.8000000000000007</v>
      </c>
      <c r="M5">
        <f t="shared" si="4"/>
        <v>36744.020384695563</v>
      </c>
      <c r="N5">
        <f t="shared" si="5"/>
        <v>3749.3898351730163</v>
      </c>
      <c r="P5">
        <f t="shared" si="6"/>
        <v>1006.1898351730165</v>
      </c>
    </row>
    <row r="6" spans="2:16">
      <c r="B6">
        <f t="shared" si="7"/>
        <v>2</v>
      </c>
      <c r="D6">
        <f t="shared" si="0"/>
        <v>3657.6</v>
      </c>
      <c r="E6">
        <v>5.4</v>
      </c>
      <c r="F6">
        <v>1.9</v>
      </c>
      <c r="G6">
        <v>118</v>
      </c>
      <c r="I6">
        <f t="shared" si="1"/>
        <v>677.33333333333326</v>
      </c>
      <c r="J6">
        <f t="shared" si="2"/>
        <v>810000</v>
      </c>
      <c r="K6">
        <f t="shared" si="3"/>
        <v>6.6273900400000141E-2</v>
      </c>
      <c r="L6">
        <v>9.8000000000000007</v>
      </c>
      <c r="M6">
        <f t="shared" si="4"/>
        <v>53681.859324000114</v>
      </c>
      <c r="N6">
        <f t="shared" si="5"/>
        <v>5477.7407473469502</v>
      </c>
      <c r="P6">
        <f t="shared" si="6"/>
        <v>1820.1407473469503</v>
      </c>
    </row>
    <row r="7" spans="2:16">
      <c r="B7">
        <f t="shared" si="7"/>
        <v>2.5</v>
      </c>
      <c r="D7">
        <f t="shared" si="0"/>
        <v>4572</v>
      </c>
      <c r="E7">
        <v>7.3</v>
      </c>
      <c r="F7">
        <v>2.6</v>
      </c>
      <c r="G7">
        <v>217</v>
      </c>
      <c r="I7">
        <f t="shared" si="1"/>
        <v>626.30136986301375</v>
      </c>
      <c r="J7">
        <f t="shared" si="2"/>
        <v>810000</v>
      </c>
      <c r="K7">
        <f t="shared" si="3"/>
        <v>9.0632580197780158E-2</v>
      </c>
      <c r="L7">
        <v>9.8000000000000007</v>
      </c>
      <c r="M7">
        <f t="shared" si="4"/>
        <v>73412.389960201923</v>
      </c>
      <c r="N7">
        <f t="shared" si="5"/>
        <v>7491.0602000206036</v>
      </c>
      <c r="P7">
        <f t="shared" si="6"/>
        <v>2919.0602000206036</v>
      </c>
    </row>
    <row r="8" spans="2:16">
      <c r="B8">
        <f t="shared" si="7"/>
        <v>3</v>
      </c>
      <c r="D8">
        <f t="shared" si="0"/>
        <v>5486.4</v>
      </c>
      <c r="E8">
        <v>9.6</v>
      </c>
      <c r="F8">
        <v>3.6</v>
      </c>
      <c r="G8">
        <v>371</v>
      </c>
      <c r="I8">
        <f t="shared" si="1"/>
        <v>571.5</v>
      </c>
      <c r="J8">
        <f t="shared" si="2"/>
        <v>810000</v>
      </c>
      <c r="K8">
        <f t="shared" si="3"/>
        <v>0.12533323356430426</v>
      </c>
      <c r="L8">
        <v>9.8000000000000007</v>
      </c>
      <c r="M8">
        <f t="shared" si="4"/>
        <v>101519.91918708645</v>
      </c>
      <c r="N8">
        <f t="shared" si="5"/>
        <v>10359.175427253718</v>
      </c>
      <c r="P8">
        <f t="shared" si="6"/>
        <v>4872.7754272537186</v>
      </c>
    </row>
    <row r="9" spans="2:16">
      <c r="B9">
        <f t="shared" si="7"/>
        <v>3.5</v>
      </c>
      <c r="D9">
        <f t="shared" si="0"/>
        <v>6400.8</v>
      </c>
      <c r="E9">
        <v>12.2</v>
      </c>
      <c r="F9">
        <v>4.8</v>
      </c>
      <c r="G9">
        <v>613</v>
      </c>
      <c r="I9">
        <f t="shared" si="1"/>
        <v>524.65573770491812</v>
      </c>
      <c r="J9">
        <f t="shared" si="2"/>
        <v>810000</v>
      </c>
      <c r="K9">
        <f t="shared" si="3"/>
        <v>0.16676874671610226</v>
      </c>
      <c r="L9">
        <v>9.8000000000000007</v>
      </c>
      <c r="M9">
        <f t="shared" si="4"/>
        <v>135082.68484004281</v>
      </c>
      <c r="N9">
        <f t="shared" si="5"/>
        <v>13783.947432657429</v>
      </c>
      <c r="P9">
        <f t="shared" si="6"/>
        <v>7383.1474326574289</v>
      </c>
    </row>
    <row r="10" spans="2:16">
      <c r="B10">
        <f t="shared" si="7"/>
        <v>4</v>
      </c>
      <c r="D10">
        <f t="shared" si="0"/>
        <v>7315.2</v>
      </c>
      <c r="E10">
        <v>15.2</v>
      </c>
      <c r="F10">
        <v>6.3</v>
      </c>
      <c r="G10">
        <v>965</v>
      </c>
      <c r="I10">
        <f t="shared" si="1"/>
        <v>481.26315789473688</v>
      </c>
      <c r="J10">
        <f t="shared" si="2"/>
        <v>810000</v>
      </c>
      <c r="K10">
        <f t="shared" si="3"/>
        <v>0.21814324139654254</v>
      </c>
      <c r="L10">
        <v>9.8000000000000007</v>
      </c>
      <c r="M10">
        <f t="shared" si="4"/>
        <v>176696.02553119944</v>
      </c>
      <c r="N10">
        <f t="shared" si="5"/>
        <v>18030.206686857084</v>
      </c>
      <c r="P10">
        <f t="shared" si="6"/>
        <v>10715.006686857083</v>
      </c>
    </row>
    <row r="11" spans="2:16">
      <c r="B11">
        <f t="shared" si="7"/>
        <v>4.5</v>
      </c>
      <c r="D11">
        <f t="shared" si="0"/>
        <v>8229.6</v>
      </c>
      <c r="E11">
        <v>18.3</v>
      </c>
      <c r="F11">
        <v>8</v>
      </c>
      <c r="G11">
        <v>1443</v>
      </c>
      <c r="I11">
        <f t="shared" si="1"/>
        <v>449.70491803278691</v>
      </c>
      <c r="J11">
        <f t="shared" si="2"/>
        <v>810000</v>
      </c>
      <c r="K11">
        <f t="shared" si="3"/>
        <v>0.27563735581699916</v>
      </c>
      <c r="L11">
        <v>9.8000000000000007</v>
      </c>
      <c r="M11">
        <f t="shared" si="4"/>
        <v>223266.25821176931</v>
      </c>
      <c r="N11">
        <f t="shared" si="5"/>
        <v>22782.271246098906</v>
      </c>
      <c r="P11">
        <f t="shared" si="6"/>
        <v>14552.671246098906</v>
      </c>
    </row>
    <row r="12" spans="2:16">
      <c r="B12">
        <f t="shared" si="7"/>
        <v>5</v>
      </c>
      <c r="D12">
        <f t="shared" si="0"/>
        <v>9144</v>
      </c>
      <c r="E12">
        <v>21.5</v>
      </c>
      <c r="F12">
        <v>10.1</v>
      </c>
      <c r="G12">
        <v>2057</v>
      </c>
      <c r="I12">
        <f t="shared" si="1"/>
        <v>425.30232558139534</v>
      </c>
      <c r="J12">
        <f t="shared" si="2"/>
        <v>810000</v>
      </c>
      <c r="K12">
        <f t="shared" si="3"/>
        <v>0.34529819899853464</v>
      </c>
      <c r="L12">
        <v>9.8000000000000007</v>
      </c>
      <c r="M12">
        <f t="shared" si="4"/>
        <v>279691.54118881305</v>
      </c>
      <c r="N12">
        <f t="shared" si="5"/>
        <v>28539.953182531943</v>
      </c>
      <c r="P12">
        <f t="shared" si="6"/>
        <v>19395.953182531943</v>
      </c>
    </row>
    <row r="13" spans="2:16">
      <c r="B13">
        <f t="shared" si="7"/>
        <v>5.5</v>
      </c>
      <c r="D13">
        <f t="shared" si="0"/>
        <v>10058.4</v>
      </c>
      <c r="E13">
        <v>25</v>
      </c>
      <c r="F13">
        <v>12.3</v>
      </c>
      <c r="G13">
        <v>2822</v>
      </c>
      <c r="I13">
        <f t="shared" si="1"/>
        <v>402.33600000000001</v>
      </c>
      <c r="J13">
        <f t="shared" si="2"/>
        <v>810000</v>
      </c>
      <c r="K13">
        <f t="shared" si="3"/>
        <v>0.41628079226040121</v>
      </c>
      <c r="L13">
        <v>9.8000000000000007</v>
      </c>
      <c r="M13">
        <f t="shared" si="4"/>
        <v>337187.441730925</v>
      </c>
      <c r="N13">
        <f t="shared" si="5"/>
        <v>34406.881809278057</v>
      </c>
      <c r="P13">
        <f t="shared" si="6"/>
        <v>24348.481809278055</v>
      </c>
    </row>
    <row r="14" spans="2:16">
      <c r="B14">
        <f t="shared" si="7"/>
        <v>6</v>
      </c>
      <c r="D14">
        <f t="shared" si="0"/>
        <v>10972.8</v>
      </c>
      <c r="E14">
        <v>28.8</v>
      </c>
      <c r="F14">
        <v>14.9</v>
      </c>
      <c r="G14">
        <v>3763</v>
      </c>
      <c r="I14">
        <f t="shared" si="1"/>
        <v>380.99999999999994</v>
      </c>
      <c r="J14">
        <f t="shared" si="2"/>
        <v>810000</v>
      </c>
      <c r="K14">
        <f t="shared" si="3"/>
        <v>0.49697396102755537</v>
      </c>
      <c r="L14">
        <v>9.8000000000000007</v>
      </c>
      <c r="M14">
        <f t="shared" si="4"/>
        <v>402548.90843231982</v>
      </c>
      <c r="N14">
        <f t="shared" si="5"/>
        <v>41076.41922778773</v>
      </c>
      <c r="P14">
        <f t="shared" si="6"/>
        <v>30103.619227787731</v>
      </c>
    </row>
    <row r="15" spans="2:16">
      <c r="B15">
        <f t="shared" si="7"/>
        <v>6.5</v>
      </c>
      <c r="D15">
        <f t="shared" si="0"/>
        <v>11887.199999999999</v>
      </c>
      <c r="E15">
        <v>32.799999999999997</v>
      </c>
      <c r="F15">
        <v>17.8</v>
      </c>
      <c r="G15">
        <v>4909</v>
      </c>
      <c r="I15">
        <f t="shared" si="1"/>
        <v>362.41463414634148</v>
      </c>
      <c r="J15">
        <f t="shared" si="2"/>
        <v>810000</v>
      </c>
      <c r="K15">
        <f t="shared" si="3"/>
        <v>0.58212297015728942</v>
      </c>
      <c r="L15">
        <v>9.8000000000000007</v>
      </c>
      <c r="M15">
        <f t="shared" si="4"/>
        <v>471519.60582740442</v>
      </c>
      <c r="N15">
        <f t="shared" si="5"/>
        <v>48114.245492592287</v>
      </c>
      <c r="P15">
        <f t="shared" si="6"/>
        <v>36227.04549259229</v>
      </c>
    </row>
    <row r="16" spans="2:16">
      <c r="B16">
        <f t="shared" si="7"/>
        <v>7</v>
      </c>
      <c r="D16">
        <f t="shared" si="0"/>
        <v>12801.6</v>
      </c>
      <c r="E16">
        <v>37.200000000000003</v>
      </c>
      <c r="F16">
        <v>21</v>
      </c>
      <c r="G16">
        <v>6314</v>
      </c>
      <c r="I16">
        <f t="shared" si="1"/>
        <v>344.12903225806451</v>
      </c>
      <c r="J16">
        <f t="shared" si="2"/>
        <v>810000</v>
      </c>
      <c r="K16">
        <f t="shared" si="3"/>
        <v>0.66913060635885824</v>
      </c>
      <c r="L16">
        <v>9.8000000000000007</v>
      </c>
      <c r="M16">
        <f t="shared" si="4"/>
        <v>541995.79115067516</v>
      </c>
      <c r="N16">
        <f t="shared" si="5"/>
        <v>55305.692974558682</v>
      </c>
      <c r="P16">
        <f t="shared" si="6"/>
        <v>42504.092974558684</v>
      </c>
    </row>
    <row r="17" spans="2:16">
      <c r="B17">
        <f t="shared" si="7"/>
        <v>7.5</v>
      </c>
      <c r="D17">
        <f t="shared" si="0"/>
        <v>13716</v>
      </c>
      <c r="E17">
        <v>42.2</v>
      </c>
      <c r="F17">
        <v>24.8</v>
      </c>
      <c r="G17">
        <v>8067</v>
      </c>
      <c r="I17">
        <f t="shared" si="1"/>
        <v>325.02369668246445</v>
      </c>
      <c r="J17">
        <f t="shared" si="2"/>
        <v>810000</v>
      </c>
      <c r="K17">
        <f t="shared" si="3"/>
        <v>0.76153830753673668</v>
      </c>
      <c r="L17">
        <v>9.8000000000000007</v>
      </c>
      <c r="M17">
        <f t="shared" si="4"/>
        <v>616846.02910475666</v>
      </c>
      <c r="N17">
        <f t="shared" si="5"/>
        <v>62943.472357628227</v>
      </c>
      <c r="P17">
        <f t="shared" si="6"/>
        <v>49227.472357628227</v>
      </c>
    </row>
    <row r="18" spans="2:16">
      <c r="B18">
        <f>B17+0.5</f>
        <v>8</v>
      </c>
      <c r="D18">
        <f t="shared" si="0"/>
        <v>14630.4</v>
      </c>
      <c r="E18">
        <v>48</v>
      </c>
      <c r="F18">
        <v>29.4</v>
      </c>
      <c r="G18">
        <v>10377</v>
      </c>
      <c r="I18">
        <f t="shared" si="1"/>
        <v>304.8</v>
      </c>
      <c r="J18">
        <f t="shared" si="2"/>
        <v>810000</v>
      </c>
      <c r="K18">
        <f t="shared" si="3"/>
        <v>0.8553642601605066</v>
      </c>
      <c r="L18">
        <v>9.8000000000000007</v>
      </c>
      <c r="M18">
        <f t="shared" si="4"/>
        <v>692845.05073001038</v>
      </c>
      <c r="N18">
        <f t="shared" si="5"/>
        <v>70698.474564286764</v>
      </c>
      <c r="P18">
        <f t="shared" si="6"/>
        <v>56068.074564286762</v>
      </c>
    </row>
    <row r="19" spans="2:16">
      <c r="B19">
        <f t="shared" si="7"/>
        <v>8.5</v>
      </c>
      <c r="C19">
        <f>C40</f>
        <v>51000</v>
      </c>
      <c r="D19">
        <f t="shared" si="0"/>
        <v>15544.8</v>
      </c>
      <c r="E19">
        <v>55.8</v>
      </c>
      <c r="F19">
        <v>35.9</v>
      </c>
      <c r="G19">
        <v>13822</v>
      </c>
      <c r="I19">
        <f t="shared" si="1"/>
        <v>278.58064516129031</v>
      </c>
      <c r="J19">
        <f t="shared" si="2"/>
        <v>810000</v>
      </c>
      <c r="K19">
        <f t="shared" si="3"/>
        <v>0.94997205152465247</v>
      </c>
      <c r="L19">
        <v>9.8000000000000007</v>
      </c>
      <c r="M19">
        <f t="shared" si="4"/>
        <v>769477.36173496849</v>
      </c>
      <c r="N19">
        <f t="shared" si="5"/>
        <v>78518.098136221262</v>
      </c>
      <c r="P19">
        <f t="shared" si="6"/>
        <v>62973.298136221259</v>
      </c>
    </row>
    <row r="24" spans="2:16">
      <c r="B24">
        <v>0.5</v>
      </c>
      <c r="E24">
        <v>89.5</v>
      </c>
      <c r="F24">
        <v>70.3</v>
      </c>
      <c r="G24">
        <v>33086</v>
      </c>
    </row>
    <row r="25" spans="2:16">
      <c r="B25">
        <v>1</v>
      </c>
      <c r="E25">
        <v>89.5</v>
      </c>
      <c r="F25">
        <v>70.3</v>
      </c>
      <c r="G25">
        <v>33086</v>
      </c>
    </row>
    <row r="26" spans="2:16">
      <c r="B26">
        <v>1.5</v>
      </c>
    </row>
    <row r="27" spans="2:16">
      <c r="B27">
        <v>2</v>
      </c>
    </row>
    <row r="28" spans="2:16">
      <c r="B28">
        <v>2.5</v>
      </c>
    </row>
    <row r="29" spans="2:16">
      <c r="B29">
        <v>3</v>
      </c>
    </row>
    <row r="30" spans="2:16">
      <c r="B30">
        <v>3.5</v>
      </c>
    </row>
    <row r="31" spans="2:16">
      <c r="B31">
        <v>4</v>
      </c>
    </row>
    <row r="32" spans="2:16">
      <c r="B32">
        <v>4.5</v>
      </c>
    </row>
    <row r="33" spans="2:7">
      <c r="B33">
        <v>5</v>
      </c>
    </row>
    <row r="34" spans="2:7">
      <c r="B34">
        <v>5.5</v>
      </c>
    </row>
    <row r="35" spans="2:7">
      <c r="B35">
        <v>6</v>
      </c>
    </row>
    <row r="36" spans="2:7">
      <c r="B36">
        <v>6.5</v>
      </c>
      <c r="E36">
        <v>88.1</v>
      </c>
      <c r="F36">
        <v>68.099999999999994</v>
      </c>
      <c r="G36">
        <v>32138</v>
      </c>
    </row>
    <row r="37" spans="2:7">
      <c r="B37">
        <v>7</v>
      </c>
      <c r="E37">
        <v>86.3</v>
      </c>
      <c r="F37">
        <v>65.7</v>
      </c>
      <c r="G37">
        <v>31069</v>
      </c>
    </row>
    <row r="38" spans="2:7">
      <c r="B38">
        <v>7.5</v>
      </c>
      <c r="E38">
        <v>84.2</v>
      </c>
      <c r="F38">
        <v>62.9</v>
      </c>
      <c r="G38">
        <v>29746</v>
      </c>
    </row>
    <row r="39" spans="2:7">
      <c r="B39">
        <v>8</v>
      </c>
      <c r="E39">
        <v>81.400000000000006</v>
      </c>
      <c r="F39">
        <v>59.6</v>
      </c>
      <c r="G39">
        <v>2803</v>
      </c>
    </row>
    <row r="40" spans="2:7">
      <c r="B40">
        <v>8.5</v>
      </c>
      <c r="C40">
        <f>B40*6000</f>
        <v>51000</v>
      </c>
      <c r="E40">
        <v>77.400000000000006</v>
      </c>
      <c r="F40">
        <v>55.2</v>
      </c>
      <c r="G40">
        <v>25502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>
      <selection activeCell="E25" sqref="E25"/>
    </sheetView>
  </sheetViews>
  <sheetFormatPr defaultRowHeight="15"/>
  <cols>
    <col min="5" max="5" width="13.85546875" customWidth="1"/>
    <col min="12" max="12" width="25.140625" customWidth="1"/>
    <col min="13" max="13" width="24.7109375" customWidth="1"/>
    <col min="17" max="17" width="20.5703125" customWidth="1"/>
  </cols>
  <sheetData>
    <row r="1" spans="1:15">
      <c r="A1" t="s">
        <v>1</v>
      </c>
      <c r="B1" t="s">
        <v>0</v>
      </c>
      <c r="C1" t="s">
        <v>8</v>
      </c>
      <c r="D1" t="s">
        <v>5</v>
      </c>
      <c r="E1" t="s">
        <v>6</v>
      </c>
      <c r="F1" t="s">
        <v>2</v>
      </c>
      <c r="G1" t="s">
        <v>3</v>
      </c>
      <c r="H1" t="s">
        <v>9</v>
      </c>
      <c r="I1" t="s">
        <v>4</v>
      </c>
      <c r="K1" t="s">
        <v>7</v>
      </c>
      <c r="L1" t="s">
        <v>10</v>
      </c>
      <c r="M1" t="s">
        <v>12</v>
      </c>
      <c r="O1" t="s">
        <v>11</v>
      </c>
    </row>
    <row r="2" spans="1:15">
      <c r="A2">
        <v>8</v>
      </c>
      <c r="B2">
        <f>A2*6000</f>
        <v>48000</v>
      </c>
      <c r="C2">
        <f>A2*1828.8</f>
        <v>14630.4</v>
      </c>
      <c r="D2">
        <v>29.4</v>
      </c>
      <c r="E2" s="2"/>
      <c r="F2" s="1">
        <v>409.41673200000002</v>
      </c>
      <c r="G2">
        <v>48</v>
      </c>
      <c r="H2">
        <f>G2*G2</f>
        <v>2304</v>
      </c>
      <c r="K2">
        <v>10377</v>
      </c>
      <c r="L2">
        <f>COS(RADIANS(D2))</f>
        <v>0.87121381112018947</v>
      </c>
      <c r="M2">
        <f>600*L2*G2</f>
        <v>25090.957760261455</v>
      </c>
      <c r="N2">
        <f>C2-M2</f>
        <v>-10460.557760261456</v>
      </c>
      <c r="O2">
        <f>N2/H2</f>
        <v>-4.5401726390023676</v>
      </c>
    </row>
    <row r="3" spans="1:15">
      <c r="A3">
        <v>7.5</v>
      </c>
      <c r="B3">
        <f t="shared" ref="B3:B18" si="0">A3*6000</f>
        <v>45000</v>
      </c>
      <c r="C3">
        <f t="shared" ref="C3:C18" si="1">A3*1828.8</f>
        <v>13716</v>
      </c>
      <c r="D3">
        <v>24.8</v>
      </c>
      <c r="E3" s="2"/>
      <c r="F3" s="1">
        <v>420.12729000000002</v>
      </c>
      <c r="G3">
        <v>42.2</v>
      </c>
      <c r="H3">
        <f t="shared" ref="H3:H18" si="2">G3*G3</f>
        <v>1780.8400000000001</v>
      </c>
      <c r="L3">
        <f t="shared" ref="L3:L18" si="3">COS(RADIANS(D3))</f>
        <v>0.90777747853290869</v>
      </c>
      <c r="M3">
        <f t="shared" ref="M3:M18" si="4">600*L3*G3</f>
        <v>22984.925756453249</v>
      </c>
      <c r="N3">
        <f t="shared" ref="N3:N18" si="5">C3-M3</f>
        <v>-9268.9257564532491</v>
      </c>
      <c r="O3">
        <f t="shared" ref="O3:O18" si="6">N3/H3</f>
        <v>-5.2048054605990703</v>
      </c>
    </row>
    <row r="4" spans="1:15">
      <c r="A4">
        <v>7</v>
      </c>
      <c r="B4">
        <f t="shared" si="0"/>
        <v>42000</v>
      </c>
      <c r="C4">
        <f t="shared" si="1"/>
        <v>12801.6</v>
      </c>
      <c r="D4">
        <v>21</v>
      </c>
      <c r="E4" s="2"/>
      <c r="F4" s="1">
        <v>433.0018</v>
      </c>
      <c r="G4">
        <v>37.200000000000003</v>
      </c>
      <c r="H4">
        <f t="shared" si="2"/>
        <v>1383.8400000000001</v>
      </c>
      <c r="L4">
        <f t="shared" si="3"/>
        <v>0.93358042649720174</v>
      </c>
      <c r="M4">
        <f t="shared" si="4"/>
        <v>20837.515119417545</v>
      </c>
      <c r="N4">
        <f t="shared" si="5"/>
        <v>-8035.9151194175447</v>
      </c>
      <c r="O4">
        <f t="shared" si="6"/>
        <v>-5.8069683774262515</v>
      </c>
    </row>
    <row r="5" spans="1:15">
      <c r="A5">
        <v>6.5</v>
      </c>
      <c r="B5">
        <f t="shared" si="0"/>
        <v>39000</v>
      </c>
      <c r="C5">
        <f t="shared" si="1"/>
        <v>11887.199999999999</v>
      </c>
      <c r="D5">
        <v>17.8</v>
      </c>
      <c r="E5" s="2">
        <v>68.099999999999994</v>
      </c>
      <c r="F5" s="1">
        <v>447.34789999999998</v>
      </c>
      <c r="G5">
        <v>32.799999999999997</v>
      </c>
      <c r="H5">
        <f t="shared" si="2"/>
        <v>1075.8399999999999</v>
      </c>
      <c r="I5">
        <v>88</v>
      </c>
      <c r="L5">
        <f t="shared" si="3"/>
        <v>0.9521293927421387</v>
      </c>
      <c r="M5">
        <f t="shared" si="4"/>
        <v>18737.90644916529</v>
      </c>
      <c r="N5">
        <f t="shared" si="5"/>
        <v>-6850.7064491652909</v>
      </c>
      <c r="O5">
        <f t="shared" si="6"/>
        <v>-6.3677744359433479</v>
      </c>
    </row>
    <row r="6" spans="1:15">
      <c r="A6">
        <v>6</v>
      </c>
      <c r="B6">
        <f t="shared" si="0"/>
        <v>36000</v>
      </c>
      <c r="C6">
        <f t="shared" si="1"/>
        <v>10972.8</v>
      </c>
      <c r="D6">
        <v>14.9</v>
      </c>
      <c r="E6" s="2">
        <v>70.3</v>
      </c>
      <c r="F6" s="1">
        <v>465.16277000000002</v>
      </c>
      <c r="G6">
        <v>28.8</v>
      </c>
      <c r="H6">
        <f t="shared" si="2"/>
        <v>829.44</v>
      </c>
      <c r="L6">
        <f t="shared" si="3"/>
        <v>0.9663760793213293</v>
      </c>
      <c r="M6">
        <f t="shared" si="4"/>
        <v>16698.978650672572</v>
      </c>
      <c r="N6">
        <f t="shared" si="5"/>
        <v>-5726.178650672573</v>
      </c>
      <c r="O6">
        <f t="shared" si="6"/>
        <v>-6.9036683191943631</v>
      </c>
    </row>
    <row r="7" spans="1:15">
      <c r="A7">
        <v>5.5</v>
      </c>
      <c r="B7">
        <f t="shared" si="0"/>
        <v>33000</v>
      </c>
      <c r="C7">
        <f t="shared" si="1"/>
        <v>10058.4</v>
      </c>
      <c r="D7">
        <v>12.3</v>
      </c>
      <c r="E7" s="2"/>
      <c r="F7" s="1">
        <v>486.61366763752397</v>
      </c>
      <c r="G7">
        <v>25</v>
      </c>
      <c r="H7">
        <f t="shared" si="2"/>
        <v>625</v>
      </c>
      <c r="L7">
        <f t="shared" si="3"/>
        <v>0.97704557443526363</v>
      </c>
      <c r="M7">
        <f t="shared" si="4"/>
        <v>14655.683616528955</v>
      </c>
      <c r="N7">
        <f t="shared" si="5"/>
        <v>-4597.2836165289555</v>
      </c>
      <c r="O7">
        <f t="shared" si="6"/>
        <v>-7.3556537864463287</v>
      </c>
    </row>
    <row r="8" spans="1:15">
      <c r="A8">
        <v>5</v>
      </c>
      <c r="B8">
        <f t="shared" si="0"/>
        <v>30000</v>
      </c>
      <c r="C8">
        <f t="shared" si="1"/>
        <v>9144</v>
      </c>
      <c r="D8">
        <v>10.1</v>
      </c>
      <c r="E8" s="1"/>
      <c r="F8" s="1">
        <v>509.429382127243</v>
      </c>
      <c r="G8">
        <v>21.5</v>
      </c>
      <c r="H8">
        <f t="shared" si="2"/>
        <v>462.25</v>
      </c>
      <c r="L8">
        <f t="shared" si="3"/>
        <v>0.98450317997443659</v>
      </c>
      <c r="M8">
        <f t="shared" si="4"/>
        <v>12700.091021670232</v>
      </c>
      <c r="N8">
        <f t="shared" si="5"/>
        <v>-3556.0910216702323</v>
      </c>
      <c r="O8">
        <f t="shared" si="6"/>
        <v>-7.6930038327100752</v>
      </c>
    </row>
    <row r="9" spans="1:15">
      <c r="A9">
        <v>4.5</v>
      </c>
      <c r="B9">
        <f t="shared" si="0"/>
        <v>27000</v>
      </c>
      <c r="C9">
        <f t="shared" si="1"/>
        <v>8229.6</v>
      </c>
      <c r="D9">
        <v>8</v>
      </c>
      <c r="E9" s="1"/>
      <c r="F9" s="1">
        <v>540.92040398836798</v>
      </c>
      <c r="G9">
        <v>18.3</v>
      </c>
      <c r="H9">
        <f t="shared" si="2"/>
        <v>334.89000000000004</v>
      </c>
      <c r="L9">
        <f t="shared" si="3"/>
        <v>0.99026806874157036</v>
      </c>
      <c r="M9">
        <f t="shared" si="4"/>
        <v>10873.143394782443</v>
      </c>
      <c r="N9">
        <f t="shared" si="5"/>
        <v>-2643.5433947824422</v>
      </c>
      <c r="O9">
        <f t="shared" si="6"/>
        <v>-7.8937662957461905</v>
      </c>
    </row>
    <row r="10" spans="1:15">
      <c r="A10">
        <v>4</v>
      </c>
      <c r="B10">
        <f t="shared" si="0"/>
        <v>24000</v>
      </c>
      <c r="C10">
        <f t="shared" si="1"/>
        <v>7315.2</v>
      </c>
      <c r="D10">
        <v>6.3</v>
      </c>
      <c r="E10" s="1"/>
      <c r="F10" s="1">
        <v>573.26477791739501</v>
      </c>
      <c r="G10">
        <v>15.2</v>
      </c>
      <c r="H10">
        <f t="shared" si="2"/>
        <v>231.04</v>
      </c>
      <c r="L10">
        <f t="shared" si="3"/>
        <v>0.99396095545517971</v>
      </c>
      <c r="M10">
        <f t="shared" si="4"/>
        <v>9064.9239137512395</v>
      </c>
      <c r="N10">
        <f t="shared" si="5"/>
        <v>-1749.7239137512397</v>
      </c>
      <c r="O10">
        <f t="shared" si="6"/>
        <v>-7.5732510117349365</v>
      </c>
    </row>
    <row r="11" spans="1:15">
      <c r="A11">
        <v>3.5</v>
      </c>
      <c r="B11">
        <f t="shared" si="0"/>
        <v>21000</v>
      </c>
      <c r="C11">
        <f t="shared" si="1"/>
        <v>6400.8</v>
      </c>
      <c r="D11">
        <v>4.8</v>
      </c>
      <c r="E11" s="1"/>
      <c r="F11" s="1">
        <v>613.299815510038</v>
      </c>
      <c r="G11">
        <v>12.2</v>
      </c>
      <c r="H11">
        <f t="shared" si="2"/>
        <v>148.83999999999997</v>
      </c>
      <c r="L11">
        <f t="shared" si="3"/>
        <v>0.99649285924950437</v>
      </c>
      <c r="M11">
        <f t="shared" si="4"/>
        <v>7294.3277297063705</v>
      </c>
      <c r="N11">
        <f t="shared" si="5"/>
        <v>-893.52772970637034</v>
      </c>
      <c r="O11">
        <f t="shared" si="6"/>
        <v>-6.0032768725233172</v>
      </c>
    </row>
    <row r="12" spans="1:15">
      <c r="A12">
        <v>3</v>
      </c>
      <c r="B12">
        <f t="shared" si="0"/>
        <v>18000</v>
      </c>
      <c r="C12">
        <f t="shared" si="1"/>
        <v>5486.4</v>
      </c>
      <c r="D12">
        <v>3.6</v>
      </c>
      <c r="E12" s="1"/>
      <c r="F12" s="1">
        <v>654.97338016352603</v>
      </c>
      <c r="G12">
        <v>9.6</v>
      </c>
      <c r="H12">
        <f t="shared" si="2"/>
        <v>92.16</v>
      </c>
      <c r="L12">
        <f t="shared" si="3"/>
        <v>0.99802672842827156</v>
      </c>
      <c r="M12">
        <f t="shared" si="4"/>
        <v>5748.6339557468445</v>
      </c>
      <c r="N12">
        <f t="shared" si="5"/>
        <v>-262.23395574684491</v>
      </c>
      <c r="O12">
        <f t="shared" si="6"/>
        <v>-2.8454205267669805</v>
      </c>
    </row>
    <row r="13" spans="1:15">
      <c r="A13">
        <v>2.5</v>
      </c>
      <c r="B13">
        <f t="shared" si="0"/>
        <v>15000</v>
      </c>
      <c r="C13">
        <f t="shared" si="1"/>
        <v>4572</v>
      </c>
      <c r="D13">
        <v>2.6</v>
      </c>
      <c r="E13" s="1"/>
      <c r="F13" s="1">
        <v>703.11113646255603</v>
      </c>
      <c r="G13">
        <v>7.3</v>
      </c>
      <c r="H13">
        <f t="shared" si="2"/>
        <v>53.29</v>
      </c>
      <c r="L13">
        <f t="shared" si="3"/>
        <v>0.99897056979071475</v>
      </c>
      <c r="M13">
        <f t="shared" si="4"/>
        <v>4375.491095683331</v>
      </c>
      <c r="N13">
        <f t="shared" si="5"/>
        <v>196.50890431666903</v>
      </c>
      <c r="O13">
        <f t="shared" si="6"/>
        <v>3.6875380806280549</v>
      </c>
    </row>
    <row r="14" spans="1:15">
      <c r="A14">
        <v>2</v>
      </c>
      <c r="B14">
        <f t="shared" si="0"/>
        <v>12000</v>
      </c>
      <c r="C14">
        <f t="shared" si="1"/>
        <v>3657.6</v>
      </c>
      <c r="D14">
        <v>1.9</v>
      </c>
      <c r="E14" s="1"/>
      <c r="F14" s="1">
        <v>735.42751916900795</v>
      </c>
      <c r="G14">
        <v>5.4</v>
      </c>
      <c r="H14">
        <f t="shared" si="2"/>
        <v>29.160000000000004</v>
      </c>
      <c r="L14">
        <f t="shared" si="3"/>
        <v>0.9994502159417572</v>
      </c>
      <c r="M14">
        <f t="shared" si="4"/>
        <v>3238.2186996512937</v>
      </c>
      <c r="N14">
        <f t="shared" si="5"/>
        <v>419.38130034870619</v>
      </c>
      <c r="O14">
        <f t="shared" si="6"/>
        <v>14.382074771903502</v>
      </c>
    </row>
    <row r="15" spans="1:15">
      <c r="A15">
        <v>1.5</v>
      </c>
      <c r="B15">
        <f t="shared" si="0"/>
        <v>9000</v>
      </c>
      <c r="C15">
        <f t="shared" si="1"/>
        <v>2743.2</v>
      </c>
      <c r="D15">
        <v>1.3</v>
      </c>
      <c r="E15" s="1"/>
      <c r="F15" s="1">
        <v>769.823113974178</v>
      </c>
      <c r="G15">
        <v>3.7</v>
      </c>
      <c r="H15">
        <f t="shared" si="2"/>
        <v>13.690000000000001</v>
      </c>
      <c r="L15">
        <f t="shared" si="3"/>
        <v>0.99974260932269832</v>
      </c>
      <c r="M15">
        <f t="shared" si="4"/>
        <v>2219.4285926963903</v>
      </c>
      <c r="N15">
        <f t="shared" si="5"/>
        <v>523.77140730360952</v>
      </c>
      <c r="O15">
        <f t="shared" si="6"/>
        <v>38.259416165347659</v>
      </c>
    </row>
    <row r="16" spans="1:15">
      <c r="A16">
        <v>1</v>
      </c>
      <c r="B16">
        <f t="shared" si="0"/>
        <v>6000</v>
      </c>
      <c r="C16">
        <f t="shared" si="1"/>
        <v>1828.8</v>
      </c>
      <c r="D16">
        <v>0.8</v>
      </c>
      <c r="F16" s="1">
        <v>801.17187052467295</v>
      </c>
      <c r="G16">
        <v>2.2999999999999998</v>
      </c>
      <c r="H16">
        <f t="shared" si="2"/>
        <v>5.2899999999999991</v>
      </c>
      <c r="L16">
        <f t="shared" si="3"/>
        <v>0.99990252400930424</v>
      </c>
      <c r="M16">
        <f t="shared" si="4"/>
        <v>1379.8654831328397</v>
      </c>
      <c r="N16">
        <f t="shared" si="5"/>
        <v>448.93451686716026</v>
      </c>
      <c r="O16">
        <f t="shared" si="6"/>
        <v>84.864747990011409</v>
      </c>
    </row>
    <row r="17" spans="1:15">
      <c r="A17">
        <v>0.5</v>
      </c>
      <c r="B17">
        <f t="shared" si="0"/>
        <v>3000</v>
      </c>
      <c r="C17">
        <f t="shared" si="1"/>
        <v>914.4</v>
      </c>
      <c r="D17">
        <v>0.3</v>
      </c>
      <c r="F17" s="1">
        <v>925.06192575889395</v>
      </c>
      <c r="G17">
        <v>1.1000000000000001</v>
      </c>
      <c r="H17">
        <f t="shared" si="2"/>
        <v>1.2100000000000002</v>
      </c>
      <c r="L17">
        <f t="shared" si="3"/>
        <v>0.99998629224742674</v>
      </c>
      <c r="M17">
        <f t="shared" si="4"/>
        <v>659.9909528833017</v>
      </c>
      <c r="N17">
        <f t="shared" si="5"/>
        <v>254.40904711669828</v>
      </c>
      <c r="O17">
        <f t="shared" si="6"/>
        <v>210.25541084024647</v>
      </c>
    </row>
    <row r="18" spans="1:15">
      <c r="A18">
        <v>0.3</v>
      </c>
      <c r="B18">
        <f t="shared" si="0"/>
        <v>1800</v>
      </c>
      <c r="C18">
        <f t="shared" si="1"/>
        <v>548.64</v>
      </c>
      <c r="D18">
        <v>0.2</v>
      </c>
      <c r="F18" s="1">
        <v>877.58634312694699</v>
      </c>
      <c r="G18">
        <v>0.6</v>
      </c>
      <c r="H18">
        <f t="shared" si="2"/>
        <v>0.36</v>
      </c>
      <c r="L18">
        <f t="shared" si="3"/>
        <v>0.99999390765779039</v>
      </c>
      <c r="M18">
        <f t="shared" si="4"/>
        <v>359.99780675680455</v>
      </c>
      <c r="N18">
        <f t="shared" si="5"/>
        <v>188.64219324319544</v>
      </c>
      <c r="O18">
        <f t="shared" si="6"/>
        <v>524.00609234220951</v>
      </c>
    </row>
    <row r="19" spans="1:15">
      <c r="F19" s="1"/>
    </row>
    <row r="20" spans="1:15">
      <c r="F2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U40"/>
  <sheetViews>
    <sheetView topLeftCell="H16" workbookViewId="0">
      <selection activeCell="K41" sqref="K41"/>
    </sheetView>
  </sheetViews>
  <sheetFormatPr defaultRowHeight="15"/>
  <cols>
    <col min="3" max="3" width="8.28515625" customWidth="1"/>
    <col min="4" max="4" width="11.42578125" customWidth="1"/>
  </cols>
  <sheetData>
    <row r="1" spans="2:20">
      <c r="B1">
        <v>1828.8</v>
      </c>
    </row>
    <row r="2" spans="2:20">
      <c r="B2" t="s">
        <v>1</v>
      </c>
      <c r="C2" t="s">
        <v>21</v>
      </c>
      <c r="D2" t="s">
        <v>41</v>
      </c>
      <c r="E2" t="s">
        <v>31</v>
      </c>
      <c r="F2" t="s">
        <v>36</v>
      </c>
      <c r="O2" t="s">
        <v>30</v>
      </c>
      <c r="P2" t="s">
        <v>23</v>
      </c>
      <c r="S2" t="s">
        <v>32</v>
      </c>
      <c r="T2" t="s">
        <v>33</v>
      </c>
    </row>
    <row r="3" spans="2:20">
      <c r="B3">
        <v>0.5</v>
      </c>
      <c r="D3">
        <v>1.1000000000000001</v>
      </c>
      <c r="F3" s="3" t="s">
        <v>32</v>
      </c>
      <c r="G3" s="3" t="s">
        <v>33</v>
      </c>
      <c r="O3">
        <v>1.1000000000000001</v>
      </c>
      <c r="P3">
        <v>0.5</v>
      </c>
      <c r="T3" t="s">
        <v>34</v>
      </c>
    </row>
    <row r="4" spans="2:20">
      <c r="B4">
        <v>1</v>
      </c>
      <c r="D4">
        <v>2.2999999999999998</v>
      </c>
      <c r="F4" s="3"/>
      <c r="G4" s="3" t="s">
        <v>34</v>
      </c>
      <c r="O4">
        <v>2.2999999999999998</v>
      </c>
      <c r="P4">
        <v>1</v>
      </c>
    </row>
    <row r="5" spans="2:20">
      <c r="B5">
        <v>1.5</v>
      </c>
      <c r="D5">
        <v>3.7</v>
      </c>
      <c r="O5">
        <v>3.7</v>
      </c>
      <c r="P5">
        <v>1.5</v>
      </c>
    </row>
    <row r="6" spans="2:20">
      <c r="B6">
        <v>2</v>
      </c>
      <c r="D6">
        <v>5.4</v>
      </c>
      <c r="O6">
        <v>5.4</v>
      </c>
      <c r="P6">
        <v>2</v>
      </c>
    </row>
    <row r="7" spans="2:20">
      <c r="B7">
        <v>2.5</v>
      </c>
      <c r="D7">
        <v>7.3</v>
      </c>
      <c r="O7">
        <v>7.3</v>
      </c>
      <c r="P7">
        <v>2.5</v>
      </c>
    </row>
    <row r="8" spans="2:20">
      <c r="B8">
        <v>3</v>
      </c>
      <c r="D8">
        <v>9.6</v>
      </c>
      <c r="O8">
        <v>9.6</v>
      </c>
      <c r="P8">
        <v>3</v>
      </c>
    </row>
    <row r="9" spans="2:20">
      <c r="B9">
        <v>3.5</v>
      </c>
      <c r="D9">
        <v>12.2</v>
      </c>
      <c r="O9">
        <v>12.2</v>
      </c>
      <c r="P9">
        <v>3.5</v>
      </c>
    </row>
    <row r="10" spans="2:20">
      <c r="B10">
        <v>4</v>
      </c>
      <c r="D10">
        <v>15.2</v>
      </c>
      <c r="O10">
        <v>15.2</v>
      </c>
      <c r="P10">
        <v>4</v>
      </c>
    </row>
    <row r="11" spans="2:20">
      <c r="B11">
        <v>4.5</v>
      </c>
      <c r="D11">
        <v>18.3</v>
      </c>
      <c r="O11">
        <v>18.3</v>
      </c>
      <c r="P11">
        <v>4.5</v>
      </c>
    </row>
    <row r="12" spans="2:20">
      <c r="B12">
        <v>5</v>
      </c>
      <c r="D12">
        <v>21.5</v>
      </c>
      <c r="O12">
        <v>21.5</v>
      </c>
      <c r="P12">
        <v>5</v>
      </c>
    </row>
    <row r="13" spans="2:20">
      <c r="B13">
        <v>5.5</v>
      </c>
      <c r="D13">
        <v>25</v>
      </c>
      <c r="O13">
        <v>25</v>
      </c>
      <c r="P13">
        <v>5.5</v>
      </c>
    </row>
    <row r="14" spans="2:20">
      <c r="B14">
        <v>6</v>
      </c>
      <c r="D14">
        <v>28.8</v>
      </c>
      <c r="O14">
        <v>28.8</v>
      </c>
      <c r="P14">
        <v>6</v>
      </c>
    </row>
    <row r="15" spans="2:20">
      <c r="B15">
        <v>6.5</v>
      </c>
      <c r="D15">
        <v>32.799999999999997</v>
      </c>
      <c r="O15">
        <v>32.799999999999997</v>
      </c>
      <c r="P15">
        <v>6.5</v>
      </c>
    </row>
    <row r="16" spans="2:20">
      <c r="B16">
        <v>7</v>
      </c>
      <c r="D16">
        <v>37.200000000000003</v>
      </c>
      <c r="O16">
        <v>37.200000000000003</v>
      </c>
      <c r="P16">
        <v>7</v>
      </c>
    </row>
    <row r="17" spans="2:21">
      <c r="B17">
        <v>7.5</v>
      </c>
      <c r="D17">
        <v>42.2</v>
      </c>
      <c r="O17">
        <v>42.2</v>
      </c>
      <c r="P17">
        <v>7.5</v>
      </c>
    </row>
    <row r="18" spans="2:21">
      <c r="B18">
        <v>8</v>
      </c>
      <c r="D18">
        <v>48</v>
      </c>
      <c r="O18">
        <v>48</v>
      </c>
      <c r="P18">
        <v>8</v>
      </c>
    </row>
    <row r="19" spans="2:21">
      <c r="B19">
        <v>8.5</v>
      </c>
      <c r="D19">
        <v>55.8</v>
      </c>
      <c r="O19">
        <v>55.8</v>
      </c>
      <c r="P19">
        <v>8.5</v>
      </c>
    </row>
    <row r="23" spans="2:21">
      <c r="B23" t="s">
        <v>23</v>
      </c>
      <c r="D23" t="s">
        <v>22</v>
      </c>
      <c r="F23" s="3"/>
      <c r="G23" s="3" t="s">
        <v>35</v>
      </c>
      <c r="O23" t="s">
        <v>1</v>
      </c>
      <c r="P23" t="s">
        <v>0</v>
      </c>
    </row>
    <row r="24" spans="2:21">
      <c r="B24">
        <v>0.5</v>
      </c>
      <c r="D24">
        <v>0.3</v>
      </c>
      <c r="F24" s="3"/>
      <c r="G24" s="3" t="s">
        <v>34</v>
      </c>
      <c r="O24">
        <v>0.5</v>
      </c>
      <c r="P24">
        <v>5</v>
      </c>
      <c r="T24" s="3" t="s">
        <v>26</v>
      </c>
      <c r="U24" s="3" t="s">
        <v>27</v>
      </c>
    </row>
    <row r="25" spans="2:21">
      <c r="B25">
        <v>1</v>
      </c>
      <c r="D25">
        <v>0.8</v>
      </c>
      <c r="O25">
        <v>1</v>
      </c>
      <c r="P25">
        <v>22</v>
      </c>
      <c r="T25" s="3" t="s">
        <v>28</v>
      </c>
      <c r="U25" s="3" t="s">
        <v>23</v>
      </c>
    </row>
    <row r="26" spans="2:21">
      <c r="B26">
        <v>1.5</v>
      </c>
      <c r="D26">
        <v>1.3</v>
      </c>
      <c r="O26">
        <v>1.5</v>
      </c>
      <c r="P26">
        <v>57</v>
      </c>
    </row>
    <row r="27" spans="2:21">
      <c r="B27">
        <v>2</v>
      </c>
      <c r="D27">
        <v>1.9</v>
      </c>
      <c r="O27">
        <v>2</v>
      </c>
      <c r="P27">
        <v>118</v>
      </c>
    </row>
    <row r="28" spans="2:21">
      <c r="B28">
        <v>2.5</v>
      </c>
      <c r="D28">
        <v>2.6</v>
      </c>
      <c r="O28">
        <v>2.5</v>
      </c>
      <c r="P28">
        <v>217</v>
      </c>
    </row>
    <row r="29" spans="2:21">
      <c r="B29">
        <v>3</v>
      </c>
      <c r="D29">
        <v>3.6</v>
      </c>
      <c r="O29">
        <v>3</v>
      </c>
      <c r="P29">
        <v>371</v>
      </c>
    </row>
    <row r="30" spans="2:21">
      <c r="B30">
        <v>3.5</v>
      </c>
      <c r="D30">
        <v>4.8</v>
      </c>
      <c r="O30">
        <v>3.5</v>
      </c>
      <c r="P30">
        <v>613</v>
      </c>
    </row>
    <row r="31" spans="2:21">
      <c r="B31">
        <v>4</v>
      </c>
      <c r="D31">
        <v>6.3</v>
      </c>
      <c r="O31">
        <v>4</v>
      </c>
      <c r="P31">
        <v>965</v>
      </c>
    </row>
    <row r="32" spans="2:21">
      <c r="B32">
        <v>4.5</v>
      </c>
      <c r="D32">
        <v>8</v>
      </c>
      <c r="O32">
        <v>4.5</v>
      </c>
      <c r="P32">
        <v>1443</v>
      </c>
    </row>
    <row r="33" spans="2:16">
      <c r="B33">
        <v>5</v>
      </c>
      <c r="D33">
        <v>10.1</v>
      </c>
      <c r="O33">
        <v>5</v>
      </c>
      <c r="P33">
        <v>2057</v>
      </c>
    </row>
    <row r="34" spans="2:16">
      <c r="B34">
        <v>5.5</v>
      </c>
      <c r="D34">
        <v>12.3</v>
      </c>
      <c r="O34">
        <v>5.5</v>
      </c>
      <c r="P34">
        <v>2822</v>
      </c>
    </row>
    <row r="35" spans="2:16">
      <c r="B35">
        <v>6</v>
      </c>
      <c r="D35">
        <v>14.9</v>
      </c>
      <c r="O35">
        <v>6</v>
      </c>
      <c r="P35">
        <v>3763</v>
      </c>
    </row>
    <row r="36" spans="2:16">
      <c r="B36">
        <v>6.5</v>
      </c>
      <c r="D36">
        <v>17.8</v>
      </c>
      <c r="O36">
        <v>6.5</v>
      </c>
      <c r="P36">
        <v>4909</v>
      </c>
    </row>
    <row r="37" spans="2:16">
      <c r="B37">
        <v>7</v>
      </c>
      <c r="D37">
        <v>21</v>
      </c>
      <c r="O37">
        <v>7</v>
      </c>
      <c r="P37">
        <v>6314</v>
      </c>
    </row>
    <row r="38" spans="2:16">
      <c r="B38">
        <v>7.5</v>
      </c>
      <c r="D38">
        <v>24.8</v>
      </c>
      <c r="O38">
        <v>7.5</v>
      </c>
      <c r="P38">
        <v>8067</v>
      </c>
    </row>
    <row r="39" spans="2:16">
      <c r="B39">
        <v>8</v>
      </c>
      <c r="D39">
        <v>29.4</v>
      </c>
      <c r="O39">
        <v>8</v>
      </c>
      <c r="P39">
        <v>10377</v>
      </c>
    </row>
    <row r="40" spans="2:16">
      <c r="B40">
        <v>8.5</v>
      </c>
      <c r="D40">
        <v>35.9</v>
      </c>
      <c r="O40">
        <v>8.5</v>
      </c>
      <c r="P40">
        <v>13822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N107"/>
  <sheetViews>
    <sheetView workbookViewId="0">
      <selection activeCell="D27" sqref="D27"/>
    </sheetView>
  </sheetViews>
  <sheetFormatPr defaultRowHeight="15"/>
  <cols>
    <col min="4" max="4" width="13.85546875" customWidth="1"/>
    <col min="8" max="8" width="15.140625" customWidth="1"/>
    <col min="14" max="14" width="16.7109375" customWidth="1"/>
  </cols>
  <sheetData>
    <row r="1" spans="2:14">
      <c r="B1" t="s">
        <v>24</v>
      </c>
      <c r="C1" t="s">
        <v>22</v>
      </c>
      <c r="D1" t="s">
        <v>37</v>
      </c>
      <c r="E1" t="s">
        <v>25</v>
      </c>
      <c r="J1" t="s">
        <v>24</v>
      </c>
      <c r="K1" t="s">
        <v>22</v>
      </c>
      <c r="N1" s="3" t="s">
        <v>7</v>
      </c>
    </row>
    <row r="2" spans="2:14">
      <c r="B2">
        <v>8.6</v>
      </c>
      <c r="C2">
        <v>54</v>
      </c>
      <c r="D2">
        <v>24761</v>
      </c>
      <c r="E2">
        <v>76.2</v>
      </c>
      <c r="J2">
        <v>8.6</v>
      </c>
      <c r="K2">
        <v>54</v>
      </c>
      <c r="N2" s="3" t="s">
        <v>35</v>
      </c>
    </row>
    <row r="3" spans="2:14">
      <c r="B3">
        <v>8.5</v>
      </c>
      <c r="C3">
        <v>55.2</v>
      </c>
      <c r="D3">
        <v>25502</v>
      </c>
      <c r="E3">
        <v>77.400000000000006</v>
      </c>
      <c r="J3">
        <v>8.5</v>
      </c>
      <c r="K3">
        <v>55.2</v>
      </c>
      <c r="N3" s="3" t="s">
        <v>34</v>
      </c>
    </row>
    <row r="4" spans="2:14">
      <c r="B4">
        <v>8.4</v>
      </c>
      <c r="C4">
        <v>56.2</v>
      </c>
      <c r="D4">
        <v>26094</v>
      </c>
      <c r="E4">
        <v>78.400000000000006</v>
      </c>
      <c r="J4">
        <v>8.4</v>
      </c>
      <c r="K4">
        <v>56.2</v>
      </c>
    </row>
    <row r="5" spans="2:14">
      <c r="B5">
        <v>8.3000000000000007</v>
      </c>
      <c r="C5">
        <v>57.2</v>
      </c>
      <c r="D5">
        <v>26639</v>
      </c>
      <c r="E5">
        <v>79.2</v>
      </c>
      <c r="J5">
        <v>8.3000000000000007</v>
      </c>
      <c r="K5">
        <v>57.2</v>
      </c>
    </row>
    <row r="6" spans="2:14">
      <c r="B6">
        <v>8.1999999999999993</v>
      </c>
      <c r="C6">
        <v>58.1</v>
      </c>
      <c r="D6">
        <v>27181</v>
      </c>
      <c r="E6">
        <v>80.099999999999994</v>
      </c>
      <c r="J6">
        <v>8.1999999999999993</v>
      </c>
      <c r="K6">
        <v>58.1</v>
      </c>
    </row>
    <row r="7" spans="2:14">
      <c r="B7">
        <v>8.1</v>
      </c>
      <c r="C7">
        <v>58.8</v>
      </c>
      <c r="D7">
        <v>27602</v>
      </c>
      <c r="E7">
        <v>80.7</v>
      </c>
      <c r="J7">
        <v>8.1</v>
      </c>
      <c r="K7">
        <v>58.8</v>
      </c>
    </row>
    <row r="8" spans="2:14">
      <c r="B8">
        <v>8</v>
      </c>
      <c r="C8">
        <v>59.6</v>
      </c>
      <c r="D8">
        <v>28023</v>
      </c>
      <c r="E8">
        <v>81.400000000000006</v>
      </c>
      <c r="J8">
        <v>8</v>
      </c>
      <c r="K8">
        <v>59.6</v>
      </c>
    </row>
    <row r="9" spans="2:14">
      <c r="B9">
        <v>7.9</v>
      </c>
      <c r="C9">
        <v>60.3</v>
      </c>
      <c r="D9">
        <v>28424</v>
      </c>
      <c r="E9">
        <v>82</v>
      </c>
      <c r="J9">
        <v>7.9</v>
      </c>
      <c r="K9">
        <v>60.3</v>
      </c>
    </row>
    <row r="10" spans="2:14">
      <c r="B10">
        <v>7.8</v>
      </c>
      <c r="C10">
        <v>61</v>
      </c>
      <c r="D10">
        <v>28774</v>
      </c>
      <c r="E10">
        <v>82.6</v>
      </c>
      <c r="J10">
        <v>7.8</v>
      </c>
      <c r="K10">
        <v>61</v>
      </c>
    </row>
    <row r="11" spans="2:14">
      <c r="B11">
        <v>7.7</v>
      </c>
      <c r="C11">
        <v>61.7</v>
      </c>
      <c r="D11">
        <v>29124</v>
      </c>
      <c r="E11">
        <v>83.1</v>
      </c>
      <c r="J11">
        <v>7.7</v>
      </c>
      <c r="K11">
        <v>61.7</v>
      </c>
    </row>
    <row r="12" spans="2:14">
      <c r="B12">
        <v>7.6</v>
      </c>
      <c r="C12">
        <v>62.3</v>
      </c>
      <c r="D12">
        <v>29446</v>
      </c>
      <c r="E12">
        <v>83.7</v>
      </c>
      <c r="J12">
        <v>7.6</v>
      </c>
      <c r="K12">
        <v>62.3</v>
      </c>
    </row>
    <row r="13" spans="2:14">
      <c r="B13">
        <v>7.5</v>
      </c>
      <c r="C13">
        <v>62.9</v>
      </c>
      <c r="D13">
        <v>29746</v>
      </c>
      <c r="E13">
        <v>84.2</v>
      </c>
      <c r="J13">
        <v>7.5</v>
      </c>
      <c r="K13">
        <v>62.9</v>
      </c>
    </row>
    <row r="14" spans="2:14">
      <c r="B14">
        <v>7.4</v>
      </c>
      <c r="C14">
        <v>63.5</v>
      </c>
      <c r="D14">
        <v>30046</v>
      </c>
      <c r="E14">
        <v>84.6</v>
      </c>
      <c r="J14">
        <v>7.4</v>
      </c>
      <c r="K14">
        <v>63.5</v>
      </c>
    </row>
    <row r="15" spans="2:14">
      <c r="B15">
        <v>7.3</v>
      </c>
      <c r="C15">
        <v>64.099999999999994</v>
      </c>
      <c r="D15">
        <v>30315</v>
      </c>
      <c r="E15">
        <v>85.1</v>
      </c>
      <c r="J15">
        <v>7.3</v>
      </c>
      <c r="K15">
        <v>64.099999999999994</v>
      </c>
    </row>
    <row r="16" spans="2:14">
      <c r="B16">
        <v>7.2</v>
      </c>
      <c r="C16">
        <v>64.599999999999994</v>
      </c>
      <c r="D16">
        <v>30578</v>
      </c>
      <c r="E16">
        <v>85.5</v>
      </c>
      <c r="J16">
        <v>7.2</v>
      </c>
      <c r="K16">
        <v>64.599999999999994</v>
      </c>
    </row>
    <row r="17" spans="2:11">
      <c r="B17">
        <v>7.1</v>
      </c>
      <c r="C17">
        <v>65.2</v>
      </c>
      <c r="D17">
        <v>30837</v>
      </c>
      <c r="E17">
        <v>85.9</v>
      </c>
      <c r="J17">
        <v>7.1</v>
      </c>
      <c r="K17">
        <v>65.2</v>
      </c>
    </row>
    <row r="18" spans="2:11">
      <c r="B18">
        <v>7</v>
      </c>
      <c r="C18">
        <v>65.7</v>
      </c>
      <c r="D18">
        <v>31069</v>
      </c>
      <c r="E18">
        <v>86.3</v>
      </c>
      <c r="J18">
        <v>7</v>
      </c>
      <c r="K18">
        <v>65.7</v>
      </c>
    </row>
    <row r="19" spans="2:11">
      <c r="B19">
        <v>6.9</v>
      </c>
      <c r="C19">
        <v>66.2</v>
      </c>
      <c r="D19">
        <v>31301</v>
      </c>
      <c r="E19">
        <v>86.7</v>
      </c>
      <c r="J19">
        <v>6.9</v>
      </c>
      <c r="K19">
        <v>66.2</v>
      </c>
    </row>
    <row r="20" spans="2:11">
      <c r="B20">
        <v>6.8</v>
      </c>
      <c r="C20">
        <v>66.7</v>
      </c>
      <c r="D20">
        <v>31525</v>
      </c>
      <c r="E20">
        <v>87.1</v>
      </c>
      <c r="J20">
        <v>6.8</v>
      </c>
      <c r="K20">
        <v>66.7</v>
      </c>
    </row>
    <row r="21" spans="2:11">
      <c r="B21">
        <v>6.7</v>
      </c>
      <c r="C21">
        <v>67.2</v>
      </c>
      <c r="D21">
        <v>31731</v>
      </c>
      <c r="E21">
        <v>87.4</v>
      </c>
      <c r="J21">
        <v>6.7</v>
      </c>
      <c r="K21">
        <v>67.2</v>
      </c>
    </row>
    <row r="22" spans="2:11">
      <c r="B22">
        <v>6.6</v>
      </c>
      <c r="C22">
        <v>67.8</v>
      </c>
      <c r="D22">
        <v>31938</v>
      </c>
      <c r="E22">
        <v>87.7</v>
      </c>
      <c r="J22">
        <v>6.6</v>
      </c>
      <c r="K22">
        <v>67.8</v>
      </c>
    </row>
    <row r="23" spans="2:11">
      <c r="B23">
        <v>6.5</v>
      </c>
    </row>
    <row r="24" spans="2:11">
      <c r="B24">
        <v>6.4</v>
      </c>
    </row>
    <row r="42" spans="2:10">
      <c r="I42" s="3" t="s">
        <v>38</v>
      </c>
      <c r="J42" s="3"/>
    </row>
    <row r="43" spans="2:10">
      <c r="I43" s="3" t="s">
        <v>34</v>
      </c>
      <c r="J43" s="3"/>
    </row>
    <row r="46" spans="2:10">
      <c r="B46" t="s">
        <v>24</v>
      </c>
      <c r="C46" t="s">
        <v>29</v>
      </c>
    </row>
    <row r="47" spans="2:10">
      <c r="B47">
        <v>8.6</v>
      </c>
      <c r="C47">
        <v>24761</v>
      </c>
    </row>
    <row r="48" spans="2:10">
      <c r="B48">
        <v>8.5</v>
      </c>
      <c r="C48">
        <v>25502</v>
      </c>
    </row>
    <row r="49" spans="2:3">
      <c r="B49">
        <v>8.4</v>
      </c>
      <c r="C49">
        <v>26094</v>
      </c>
    </row>
    <row r="50" spans="2:3">
      <c r="B50">
        <v>8.3000000000000007</v>
      </c>
      <c r="C50">
        <v>26639</v>
      </c>
    </row>
    <row r="51" spans="2:3">
      <c r="B51">
        <v>8.1999999999999993</v>
      </c>
      <c r="C51">
        <v>27181</v>
      </c>
    </row>
    <row r="52" spans="2:3">
      <c r="B52">
        <v>8.1</v>
      </c>
      <c r="C52">
        <v>27602</v>
      </c>
    </row>
    <row r="53" spans="2:3">
      <c r="B53">
        <v>8</v>
      </c>
      <c r="C53">
        <v>28023</v>
      </c>
    </row>
    <row r="54" spans="2:3">
      <c r="B54">
        <v>7.9</v>
      </c>
      <c r="C54">
        <v>28424</v>
      </c>
    </row>
    <row r="55" spans="2:3">
      <c r="B55">
        <v>7.8</v>
      </c>
      <c r="C55">
        <v>28774</v>
      </c>
    </row>
    <row r="56" spans="2:3">
      <c r="B56">
        <v>7.7</v>
      </c>
      <c r="C56">
        <v>29124</v>
      </c>
    </row>
    <row r="57" spans="2:3">
      <c r="B57">
        <v>7.6</v>
      </c>
      <c r="C57">
        <v>29446</v>
      </c>
    </row>
    <row r="58" spans="2:3">
      <c r="B58">
        <v>7.5</v>
      </c>
      <c r="C58">
        <v>29746</v>
      </c>
    </row>
    <row r="59" spans="2:3">
      <c r="B59">
        <v>7.4</v>
      </c>
      <c r="C59">
        <v>30046</v>
      </c>
    </row>
    <row r="60" spans="2:3">
      <c r="B60">
        <v>7.3</v>
      </c>
      <c r="C60">
        <v>30315</v>
      </c>
    </row>
    <row r="61" spans="2:3">
      <c r="B61">
        <v>7.2</v>
      </c>
      <c r="C61">
        <v>30578</v>
      </c>
    </row>
    <row r="62" spans="2:3">
      <c r="B62">
        <v>7.1</v>
      </c>
      <c r="C62">
        <v>30837</v>
      </c>
    </row>
    <row r="63" spans="2:3">
      <c r="B63">
        <v>7</v>
      </c>
      <c r="C63">
        <v>31069</v>
      </c>
    </row>
    <row r="64" spans="2:3">
      <c r="B64">
        <v>6.9</v>
      </c>
      <c r="C64">
        <v>31301</v>
      </c>
    </row>
    <row r="65" spans="2:3">
      <c r="B65">
        <v>6.8</v>
      </c>
      <c r="C65">
        <v>31525</v>
      </c>
    </row>
    <row r="66" spans="2:3">
      <c r="B66">
        <v>6.7</v>
      </c>
      <c r="C66">
        <v>31731</v>
      </c>
    </row>
    <row r="67" spans="2:3">
      <c r="B67">
        <v>6.6</v>
      </c>
      <c r="C67">
        <v>31938</v>
      </c>
    </row>
    <row r="85" spans="2:8">
      <c r="H85" s="3" t="s">
        <v>40</v>
      </c>
    </row>
    <row r="86" spans="2:8">
      <c r="B86" t="s">
        <v>24</v>
      </c>
      <c r="C86" t="s">
        <v>39</v>
      </c>
      <c r="H86" s="3" t="s">
        <v>34</v>
      </c>
    </row>
    <row r="87" spans="2:8">
      <c r="B87">
        <v>8.6</v>
      </c>
      <c r="C87">
        <v>76.2</v>
      </c>
      <c r="H87" s="3"/>
    </row>
    <row r="88" spans="2:8">
      <c r="B88">
        <v>8.5</v>
      </c>
      <c r="C88">
        <v>77.400000000000006</v>
      </c>
    </row>
    <row r="89" spans="2:8">
      <c r="B89">
        <v>8.4</v>
      </c>
      <c r="C89">
        <v>78.400000000000006</v>
      </c>
    </row>
    <row r="90" spans="2:8">
      <c r="B90">
        <v>8.3000000000000007</v>
      </c>
      <c r="C90">
        <v>79.2</v>
      </c>
    </row>
    <row r="91" spans="2:8">
      <c r="B91">
        <v>8.1999999999999993</v>
      </c>
      <c r="C91">
        <v>80.099999999999994</v>
      </c>
    </row>
    <row r="92" spans="2:8">
      <c r="B92">
        <v>8.1</v>
      </c>
      <c r="C92">
        <v>80.7</v>
      </c>
    </row>
    <row r="93" spans="2:8">
      <c r="B93">
        <v>8</v>
      </c>
      <c r="C93">
        <v>81.400000000000006</v>
      </c>
    </row>
    <row r="94" spans="2:8">
      <c r="B94">
        <v>7.9</v>
      </c>
      <c r="C94">
        <v>82</v>
      </c>
    </row>
    <row r="95" spans="2:8">
      <c r="B95">
        <v>7.8</v>
      </c>
      <c r="C95">
        <v>82.6</v>
      </c>
    </row>
    <row r="96" spans="2:8">
      <c r="B96">
        <v>7.7</v>
      </c>
      <c r="C96">
        <v>83.1</v>
      </c>
    </row>
    <row r="97" spans="2:3">
      <c r="B97">
        <v>7.6</v>
      </c>
      <c r="C97">
        <v>83.7</v>
      </c>
    </row>
    <row r="98" spans="2:3">
      <c r="B98">
        <v>7.5</v>
      </c>
      <c r="C98">
        <v>84.2</v>
      </c>
    </row>
    <row r="99" spans="2:3">
      <c r="B99">
        <v>7.4</v>
      </c>
      <c r="C99">
        <v>84.6</v>
      </c>
    </row>
    <row r="100" spans="2:3">
      <c r="B100">
        <v>7.3</v>
      </c>
      <c r="C100">
        <v>85.1</v>
      </c>
    </row>
    <row r="101" spans="2:3">
      <c r="B101">
        <v>7.2</v>
      </c>
      <c r="C101">
        <v>85.5</v>
      </c>
    </row>
    <row r="102" spans="2:3">
      <c r="B102">
        <v>7.1</v>
      </c>
      <c r="C102">
        <v>85.9</v>
      </c>
    </row>
    <row r="103" spans="2:3">
      <c r="B103">
        <v>7</v>
      </c>
      <c r="C103">
        <v>86.3</v>
      </c>
    </row>
    <row r="104" spans="2:3">
      <c r="B104">
        <v>6.9</v>
      </c>
      <c r="C104">
        <v>86.7</v>
      </c>
    </row>
    <row r="105" spans="2:3">
      <c r="B105">
        <v>6.8</v>
      </c>
      <c r="C105">
        <v>87.1</v>
      </c>
    </row>
    <row r="106" spans="2:3">
      <c r="B106">
        <v>6.7</v>
      </c>
      <c r="C106">
        <v>87.4</v>
      </c>
    </row>
    <row r="107" spans="2:3">
      <c r="B107">
        <v>6.6</v>
      </c>
      <c r="C107">
        <v>87.7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4:G47"/>
  <sheetViews>
    <sheetView topLeftCell="A22" workbookViewId="0">
      <selection activeCell="F25" sqref="F25"/>
    </sheetView>
  </sheetViews>
  <sheetFormatPr defaultRowHeight="15"/>
  <cols>
    <col min="2" max="2" width="9.5703125" customWidth="1"/>
  </cols>
  <sheetData>
    <row r="4" spans="1:7">
      <c r="B4" t="s">
        <v>1</v>
      </c>
      <c r="C4" t="s">
        <v>42</v>
      </c>
      <c r="D4" t="s">
        <v>43</v>
      </c>
      <c r="E4" t="s">
        <v>8</v>
      </c>
      <c r="F4" t="s">
        <v>60</v>
      </c>
    </row>
    <row r="5" spans="1:7">
      <c r="A5" t="s">
        <v>1</v>
      </c>
      <c r="B5">
        <v>1</v>
      </c>
      <c r="C5">
        <f>2000/2025.372</f>
        <v>0.98747291855520858</v>
      </c>
    </row>
    <row r="6" spans="1:7">
      <c r="A6" t="s">
        <v>42</v>
      </c>
      <c r="B6">
        <f>2025.372/2000</f>
        <v>1.012686</v>
      </c>
      <c r="C6">
        <v>1</v>
      </c>
    </row>
    <row r="7" spans="1:7">
      <c r="A7" t="s">
        <v>43</v>
      </c>
      <c r="B7">
        <v>1</v>
      </c>
      <c r="C7">
        <v>2025.37183</v>
      </c>
      <c r="D7">
        <v>2000</v>
      </c>
      <c r="E7">
        <f>D7*D8</f>
        <v>1828.8</v>
      </c>
    </row>
    <row r="8" spans="1:7">
      <c r="A8" t="s">
        <v>8</v>
      </c>
      <c r="D8">
        <v>0.91439999999999999</v>
      </c>
      <c r="E8">
        <v>1</v>
      </c>
      <c r="G8">
        <v>1828.8</v>
      </c>
    </row>
    <row r="9" spans="1:7">
      <c r="A9" t="s">
        <v>60</v>
      </c>
    </row>
    <row r="16" spans="1:7">
      <c r="B16" s="18" t="s">
        <v>73</v>
      </c>
    </row>
    <row r="17" spans="2:2">
      <c r="B17" s="19"/>
    </row>
    <row r="18" spans="2:2">
      <c r="B18" s="19"/>
    </row>
    <row r="22" spans="2:2">
      <c r="B22" s="18" t="s">
        <v>74</v>
      </c>
    </row>
    <row r="23" spans="2:2">
      <c r="B23" s="19"/>
    </row>
    <row r="24" spans="2:2">
      <c r="B24" s="19"/>
    </row>
    <row r="27" spans="2:2">
      <c r="B27" s="18" t="s">
        <v>75</v>
      </c>
    </row>
    <row r="28" spans="2:2">
      <c r="B28" s="19"/>
    </row>
    <row r="29" spans="2:2">
      <c r="B29" s="19"/>
    </row>
    <row r="33" spans="2:2">
      <c r="B33" s="18" t="s">
        <v>76</v>
      </c>
    </row>
    <row r="34" spans="2:2">
      <c r="B34" s="19"/>
    </row>
    <row r="35" spans="2:2">
      <c r="B35" s="19"/>
    </row>
    <row r="39" spans="2:2">
      <c r="B39" s="18" t="s">
        <v>77</v>
      </c>
    </row>
    <row r="40" spans="2:2">
      <c r="B40" s="19"/>
    </row>
    <row r="41" spans="2:2">
      <c r="B41" s="19"/>
    </row>
    <row r="45" spans="2:2">
      <c r="B45" s="18" t="s">
        <v>78</v>
      </c>
    </row>
    <row r="46" spans="2:2">
      <c r="B46" s="19"/>
    </row>
    <row r="47" spans="2:2">
      <c r="B47" s="1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W103"/>
  <sheetViews>
    <sheetView topLeftCell="C1" workbookViewId="0">
      <selection activeCell="Q65" sqref="Q65"/>
    </sheetView>
  </sheetViews>
  <sheetFormatPr defaultRowHeight="15"/>
  <cols>
    <col min="2" max="2" width="8.140625" customWidth="1"/>
    <col min="3" max="3" width="8.28515625" customWidth="1"/>
    <col min="4" max="4" width="11.42578125" customWidth="1"/>
  </cols>
  <sheetData>
    <row r="2" spans="2:23">
      <c r="B2">
        <v>1828.8</v>
      </c>
    </row>
    <row r="3" spans="2:23">
      <c r="B3" t="s">
        <v>1</v>
      </c>
      <c r="C3" t="s">
        <v>21</v>
      </c>
      <c r="D3" t="s">
        <v>41</v>
      </c>
      <c r="F3" t="s">
        <v>36</v>
      </c>
      <c r="Q3" t="s">
        <v>30</v>
      </c>
      <c r="R3" t="s">
        <v>23</v>
      </c>
      <c r="V3" t="s">
        <v>32</v>
      </c>
      <c r="W3" t="s">
        <v>33</v>
      </c>
    </row>
    <row r="4" spans="2:23">
      <c r="B4" s="4">
        <v>0.5</v>
      </c>
      <c r="C4">
        <f t="shared" ref="C4:C20" si="0">B4*$B$2</f>
        <v>914.4</v>
      </c>
      <c r="D4">
        <v>1.1000000000000001</v>
      </c>
      <c r="F4" s="5"/>
      <c r="G4" s="5"/>
      <c r="Q4">
        <v>1.1000000000000001</v>
      </c>
      <c r="R4">
        <v>914.4</v>
      </c>
      <c r="W4" t="s">
        <v>34</v>
      </c>
    </row>
    <row r="5" spans="2:23">
      <c r="B5" s="4">
        <v>1</v>
      </c>
      <c r="C5">
        <f t="shared" si="0"/>
        <v>1828.8</v>
      </c>
      <c r="D5">
        <v>2.2999999999999998</v>
      </c>
      <c r="F5" s="5"/>
      <c r="G5" s="5"/>
      <c r="Q5">
        <v>2.2999999999999998</v>
      </c>
      <c r="R5">
        <v>1828.8</v>
      </c>
    </row>
    <row r="6" spans="2:23">
      <c r="B6" s="4">
        <v>1.5</v>
      </c>
      <c r="C6">
        <f t="shared" si="0"/>
        <v>2743.2</v>
      </c>
      <c r="D6">
        <v>3.7</v>
      </c>
      <c r="Q6">
        <v>3.7</v>
      </c>
      <c r="R6">
        <v>2743.2</v>
      </c>
    </row>
    <row r="7" spans="2:23">
      <c r="B7" s="4">
        <v>2</v>
      </c>
      <c r="C7">
        <f t="shared" si="0"/>
        <v>3657.6</v>
      </c>
      <c r="D7">
        <v>5.4</v>
      </c>
      <c r="Q7">
        <v>5.4</v>
      </c>
      <c r="R7">
        <v>3657.6</v>
      </c>
    </row>
    <row r="8" spans="2:23">
      <c r="B8" s="4">
        <v>2.5</v>
      </c>
      <c r="C8">
        <f t="shared" si="0"/>
        <v>4572</v>
      </c>
      <c r="D8">
        <v>7.3</v>
      </c>
      <c r="Q8">
        <v>7.3</v>
      </c>
      <c r="R8">
        <v>4572</v>
      </c>
    </row>
    <row r="9" spans="2:23">
      <c r="B9" s="4">
        <v>3</v>
      </c>
      <c r="C9">
        <f t="shared" si="0"/>
        <v>5486.4</v>
      </c>
      <c r="D9">
        <v>9.6</v>
      </c>
      <c r="Q9">
        <v>9.6</v>
      </c>
      <c r="R9">
        <v>5486.4</v>
      </c>
    </row>
    <row r="10" spans="2:23">
      <c r="B10" s="4">
        <v>3.5</v>
      </c>
      <c r="C10">
        <f t="shared" si="0"/>
        <v>6400.8</v>
      </c>
      <c r="D10">
        <v>12.2</v>
      </c>
      <c r="Q10">
        <v>12.2</v>
      </c>
      <c r="R10">
        <v>6400.8</v>
      </c>
    </row>
    <row r="11" spans="2:23">
      <c r="B11" s="4">
        <v>4</v>
      </c>
      <c r="C11">
        <f t="shared" si="0"/>
        <v>7315.2</v>
      </c>
      <c r="D11">
        <v>15.2</v>
      </c>
      <c r="Q11">
        <v>15.2</v>
      </c>
      <c r="R11">
        <v>7315.2</v>
      </c>
    </row>
    <row r="12" spans="2:23">
      <c r="B12" s="4">
        <v>4.5</v>
      </c>
      <c r="C12">
        <f t="shared" si="0"/>
        <v>8229.6</v>
      </c>
      <c r="D12">
        <v>18.3</v>
      </c>
      <c r="Q12">
        <v>18.3</v>
      </c>
      <c r="R12">
        <v>8229.6</v>
      </c>
    </row>
    <row r="13" spans="2:23">
      <c r="B13" s="4">
        <v>5</v>
      </c>
      <c r="C13">
        <f t="shared" si="0"/>
        <v>9144</v>
      </c>
      <c r="D13">
        <v>21.5</v>
      </c>
      <c r="Q13">
        <v>21.5</v>
      </c>
      <c r="R13">
        <v>9144</v>
      </c>
    </row>
    <row r="14" spans="2:23">
      <c r="B14" s="4">
        <v>5.5</v>
      </c>
      <c r="C14">
        <f t="shared" si="0"/>
        <v>10058.4</v>
      </c>
      <c r="D14">
        <v>25</v>
      </c>
      <c r="Q14">
        <v>25</v>
      </c>
      <c r="R14">
        <v>10058.4</v>
      </c>
    </row>
    <row r="15" spans="2:23">
      <c r="B15" s="4">
        <v>6</v>
      </c>
      <c r="C15">
        <f t="shared" si="0"/>
        <v>10972.8</v>
      </c>
      <c r="D15">
        <v>28.8</v>
      </c>
      <c r="Q15">
        <v>28.8</v>
      </c>
      <c r="R15">
        <v>10972.8</v>
      </c>
    </row>
    <row r="16" spans="2:23">
      <c r="B16" s="4">
        <v>6.5</v>
      </c>
      <c r="C16">
        <f t="shared" si="0"/>
        <v>11887.199999999999</v>
      </c>
      <c r="D16">
        <v>32.799999999999997</v>
      </c>
      <c r="Q16">
        <v>32.799999999999997</v>
      </c>
      <c r="R16">
        <v>11887.199999999999</v>
      </c>
    </row>
    <row r="17" spans="2:18">
      <c r="B17" s="4">
        <v>7</v>
      </c>
      <c r="C17">
        <f t="shared" si="0"/>
        <v>12801.6</v>
      </c>
      <c r="D17">
        <v>37.200000000000003</v>
      </c>
      <c r="Q17">
        <v>37.200000000000003</v>
      </c>
      <c r="R17">
        <v>12801.6</v>
      </c>
    </row>
    <row r="18" spans="2:18">
      <c r="B18" s="4">
        <v>7.5</v>
      </c>
      <c r="C18">
        <f t="shared" si="0"/>
        <v>13716</v>
      </c>
      <c r="D18">
        <v>42.2</v>
      </c>
      <c r="Q18">
        <v>42.2</v>
      </c>
      <c r="R18">
        <v>13716</v>
      </c>
    </row>
    <row r="19" spans="2:18">
      <c r="B19" s="4">
        <v>8</v>
      </c>
      <c r="C19">
        <f t="shared" si="0"/>
        <v>14630.4</v>
      </c>
      <c r="D19">
        <v>48</v>
      </c>
      <c r="Q19">
        <v>48</v>
      </c>
      <c r="R19">
        <v>14630.4</v>
      </c>
    </row>
    <row r="20" spans="2:18">
      <c r="B20" s="4">
        <v>8.5</v>
      </c>
      <c r="C20">
        <f t="shared" si="0"/>
        <v>15544.8</v>
      </c>
      <c r="D20">
        <v>55.8</v>
      </c>
      <c r="Q20">
        <v>55.8</v>
      </c>
      <c r="R20">
        <v>15544.8</v>
      </c>
    </row>
    <row r="23" spans="2:18">
      <c r="B23" t="s">
        <v>1</v>
      </c>
      <c r="C23" t="s">
        <v>46</v>
      </c>
      <c r="D23" t="s">
        <v>45</v>
      </c>
      <c r="E23" t="s">
        <v>44</v>
      </c>
    </row>
    <row r="24" spans="2:18">
      <c r="B24" s="4">
        <v>0.5</v>
      </c>
      <c r="C24">
        <f t="shared" ref="C24:C40" si="1">B24*$B$2</f>
        <v>914.4</v>
      </c>
      <c r="D24">
        <v>1.1000000000000001</v>
      </c>
      <c r="E24">
        <f>C24/D24</f>
        <v>831.27272727272714</v>
      </c>
    </row>
    <row r="25" spans="2:18">
      <c r="B25" s="4">
        <v>1</v>
      </c>
      <c r="C25">
        <f t="shared" si="1"/>
        <v>1828.8</v>
      </c>
      <c r="D25">
        <v>2.2999999999999998</v>
      </c>
      <c r="E25">
        <f t="shared" ref="E25:E40" si="2">C25/D25</f>
        <v>795.13043478260875</v>
      </c>
    </row>
    <row r="26" spans="2:18">
      <c r="B26" s="4">
        <v>1.5</v>
      </c>
      <c r="C26">
        <f t="shared" si="1"/>
        <v>2743.2</v>
      </c>
      <c r="D26">
        <v>3.7</v>
      </c>
      <c r="E26">
        <f t="shared" si="2"/>
        <v>741.4054054054053</v>
      </c>
    </row>
    <row r="27" spans="2:18">
      <c r="B27" s="4">
        <v>2</v>
      </c>
      <c r="C27">
        <f t="shared" si="1"/>
        <v>3657.6</v>
      </c>
      <c r="D27">
        <v>5.4</v>
      </c>
      <c r="E27">
        <f t="shared" si="2"/>
        <v>677.33333333333326</v>
      </c>
    </row>
    <row r="28" spans="2:18">
      <c r="B28" s="4">
        <v>2.5</v>
      </c>
      <c r="C28">
        <f t="shared" si="1"/>
        <v>4572</v>
      </c>
      <c r="D28">
        <v>7.3</v>
      </c>
      <c r="E28">
        <f t="shared" si="2"/>
        <v>626.30136986301375</v>
      </c>
    </row>
    <row r="29" spans="2:18">
      <c r="B29" s="4">
        <v>3</v>
      </c>
      <c r="C29">
        <f t="shared" si="1"/>
        <v>5486.4</v>
      </c>
      <c r="D29">
        <v>9.6</v>
      </c>
      <c r="E29">
        <f t="shared" si="2"/>
        <v>571.5</v>
      </c>
    </row>
    <row r="30" spans="2:18">
      <c r="B30" s="4">
        <v>3.5</v>
      </c>
      <c r="C30">
        <f t="shared" si="1"/>
        <v>6400.8</v>
      </c>
      <c r="D30">
        <v>12.2</v>
      </c>
      <c r="E30">
        <f t="shared" si="2"/>
        <v>524.65573770491812</v>
      </c>
    </row>
    <row r="31" spans="2:18">
      <c r="B31" s="4">
        <v>4</v>
      </c>
      <c r="C31">
        <f t="shared" si="1"/>
        <v>7315.2</v>
      </c>
      <c r="D31">
        <v>15.2</v>
      </c>
      <c r="E31">
        <f t="shared" si="2"/>
        <v>481.26315789473688</v>
      </c>
    </row>
    <row r="32" spans="2:18">
      <c r="B32" s="4">
        <v>4.5</v>
      </c>
      <c r="C32">
        <f t="shared" si="1"/>
        <v>8229.6</v>
      </c>
      <c r="D32">
        <v>18.3</v>
      </c>
      <c r="E32">
        <f t="shared" si="2"/>
        <v>449.70491803278691</v>
      </c>
    </row>
    <row r="33" spans="2:18">
      <c r="B33" s="4">
        <v>5</v>
      </c>
      <c r="C33">
        <f t="shared" si="1"/>
        <v>9144</v>
      </c>
      <c r="D33">
        <v>21.5</v>
      </c>
      <c r="E33">
        <f t="shared" si="2"/>
        <v>425.30232558139534</v>
      </c>
    </row>
    <row r="34" spans="2:18">
      <c r="B34" s="4">
        <v>5.5</v>
      </c>
      <c r="C34">
        <f t="shared" si="1"/>
        <v>10058.4</v>
      </c>
      <c r="D34">
        <v>25</v>
      </c>
      <c r="E34">
        <f t="shared" si="2"/>
        <v>402.33600000000001</v>
      </c>
    </row>
    <row r="35" spans="2:18">
      <c r="B35" s="4">
        <v>6</v>
      </c>
      <c r="C35">
        <f t="shared" si="1"/>
        <v>10972.8</v>
      </c>
      <c r="D35">
        <v>28.8</v>
      </c>
      <c r="E35">
        <f t="shared" si="2"/>
        <v>380.99999999999994</v>
      </c>
    </row>
    <row r="36" spans="2:18">
      <c r="B36" s="4">
        <v>6.5</v>
      </c>
      <c r="C36">
        <f t="shared" si="1"/>
        <v>11887.199999999999</v>
      </c>
      <c r="D36">
        <v>32.799999999999997</v>
      </c>
      <c r="E36">
        <f t="shared" si="2"/>
        <v>362.41463414634148</v>
      </c>
    </row>
    <row r="37" spans="2:18">
      <c r="B37" s="4">
        <v>7</v>
      </c>
      <c r="C37">
        <f t="shared" si="1"/>
        <v>12801.6</v>
      </c>
      <c r="D37">
        <v>37.200000000000003</v>
      </c>
      <c r="E37">
        <f t="shared" si="2"/>
        <v>344.12903225806451</v>
      </c>
    </row>
    <row r="38" spans="2:18">
      <c r="B38" s="4">
        <v>7.5</v>
      </c>
      <c r="C38">
        <f t="shared" si="1"/>
        <v>13716</v>
      </c>
      <c r="D38">
        <v>42.2</v>
      </c>
      <c r="E38">
        <f t="shared" si="2"/>
        <v>325.02369668246445</v>
      </c>
    </row>
    <row r="39" spans="2:18">
      <c r="B39" s="4">
        <v>8</v>
      </c>
      <c r="C39">
        <f t="shared" si="1"/>
        <v>14630.4</v>
      </c>
      <c r="D39">
        <v>48</v>
      </c>
      <c r="E39">
        <f t="shared" si="2"/>
        <v>304.8</v>
      </c>
    </row>
    <row r="40" spans="2:18">
      <c r="B40" s="4">
        <v>8.5</v>
      </c>
      <c r="C40">
        <f t="shared" si="1"/>
        <v>15544.8</v>
      </c>
      <c r="D40">
        <v>55.8</v>
      </c>
      <c r="E40">
        <f t="shared" si="2"/>
        <v>278.58064516129031</v>
      </c>
    </row>
    <row r="43" spans="2:18">
      <c r="B43" t="s">
        <v>23</v>
      </c>
      <c r="D43" t="s">
        <v>47</v>
      </c>
    </row>
    <row r="44" spans="2:18">
      <c r="B44" s="4">
        <v>0.5</v>
      </c>
      <c r="C44">
        <f>B44*$B$2</f>
        <v>914.4</v>
      </c>
      <c r="D44">
        <v>0.3</v>
      </c>
      <c r="F44" s="5"/>
      <c r="G44" s="5"/>
      <c r="Q44">
        <v>0.3</v>
      </c>
      <c r="R44">
        <v>914.4</v>
      </c>
    </row>
    <row r="45" spans="2:18">
      <c r="B45" s="4">
        <v>1</v>
      </c>
      <c r="C45">
        <f t="shared" ref="C45:C60" si="3">B45*$B$2</f>
        <v>1828.8</v>
      </c>
      <c r="D45">
        <v>0.8</v>
      </c>
      <c r="F45" s="5"/>
      <c r="G45" s="5"/>
      <c r="Q45">
        <v>0.8</v>
      </c>
      <c r="R45">
        <v>1828.8</v>
      </c>
    </row>
    <row r="46" spans="2:18">
      <c r="B46" s="4">
        <v>1.5</v>
      </c>
      <c r="C46">
        <f t="shared" si="3"/>
        <v>2743.2</v>
      </c>
      <c r="D46">
        <v>1.3</v>
      </c>
      <c r="Q46">
        <v>1.3</v>
      </c>
      <c r="R46">
        <v>2743.2</v>
      </c>
    </row>
    <row r="47" spans="2:18">
      <c r="B47" s="4">
        <v>2</v>
      </c>
      <c r="C47">
        <f t="shared" si="3"/>
        <v>3657.6</v>
      </c>
      <c r="D47">
        <v>1.9</v>
      </c>
      <c r="Q47">
        <v>1.9</v>
      </c>
      <c r="R47">
        <v>3657.6</v>
      </c>
    </row>
    <row r="48" spans="2:18">
      <c r="B48" s="4">
        <v>2.5</v>
      </c>
      <c r="C48">
        <f t="shared" si="3"/>
        <v>4572</v>
      </c>
      <c r="D48">
        <v>2.6</v>
      </c>
      <c r="Q48">
        <v>2.6</v>
      </c>
      <c r="R48">
        <v>4572</v>
      </c>
    </row>
    <row r="49" spans="2:18">
      <c r="B49" s="4">
        <v>3</v>
      </c>
      <c r="C49">
        <f t="shared" si="3"/>
        <v>5486.4</v>
      </c>
      <c r="D49">
        <v>3.6</v>
      </c>
      <c r="Q49">
        <v>3.6</v>
      </c>
      <c r="R49">
        <v>5486.4</v>
      </c>
    </row>
    <row r="50" spans="2:18">
      <c r="B50" s="4">
        <v>3.5</v>
      </c>
      <c r="C50">
        <f t="shared" si="3"/>
        <v>6400.8</v>
      </c>
      <c r="D50">
        <v>4.8</v>
      </c>
      <c r="Q50">
        <v>4.8</v>
      </c>
      <c r="R50">
        <v>6400.8</v>
      </c>
    </row>
    <row r="51" spans="2:18">
      <c r="B51" s="4">
        <v>4</v>
      </c>
      <c r="C51">
        <f t="shared" si="3"/>
        <v>7315.2</v>
      </c>
      <c r="D51">
        <v>6.3</v>
      </c>
      <c r="Q51">
        <v>6.3</v>
      </c>
      <c r="R51">
        <v>7315.2</v>
      </c>
    </row>
    <row r="52" spans="2:18">
      <c r="B52" s="4">
        <v>4.5</v>
      </c>
      <c r="C52">
        <f t="shared" si="3"/>
        <v>8229.6</v>
      </c>
      <c r="D52">
        <v>8</v>
      </c>
      <c r="Q52">
        <v>8</v>
      </c>
      <c r="R52">
        <v>8229.6</v>
      </c>
    </row>
    <row r="53" spans="2:18">
      <c r="B53" s="4">
        <v>5</v>
      </c>
      <c r="C53">
        <f t="shared" si="3"/>
        <v>9144</v>
      </c>
      <c r="D53">
        <v>10.1</v>
      </c>
      <c r="Q53">
        <v>10.1</v>
      </c>
      <c r="R53">
        <v>9144</v>
      </c>
    </row>
    <row r="54" spans="2:18">
      <c r="B54" s="4">
        <v>5.5</v>
      </c>
      <c r="C54">
        <f t="shared" si="3"/>
        <v>10058.4</v>
      </c>
      <c r="D54">
        <v>12.3</v>
      </c>
      <c r="Q54">
        <v>12.3</v>
      </c>
      <c r="R54">
        <v>10058.4</v>
      </c>
    </row>
    <row r="55" spans="2:18">
      <c r="B55" s="4">
        <v>6</v>
      </c>
      <c r="C55">
        <f t="shared" si="3"/>
        <v>10972.8</v>
      </c>
      <c r="D55">
        <v>14.9</v>
      </c>
      <c r="Q55">
        <v>14.9</v>
      </c>
      <c r="R55">
        <v>10972.8</v>
      </c>
    </row>
    <row r="56" spans="2:18">
      <c r="B56" s="4">
        <v>6.5</v>
      </c>
      <c r="C56">
        <f t="shared" si="3"/>
        <v>11887.199999999999</v>
      </c>
      <c r="D56">
        <v>17.8</v>
      </c>
      <c r="Q56">
        <v>17.8</v>
      </c>
      <c r="R56">
        <v>11887.199999999999</v>
      </c>
    </row>
    <row r="57" spans="2:18">
      <c r="B57" s="4">
        <v>7</v>
      </c>
      <c r="C57">
        <f t="shared" si="3"/>
        <v>12801.6</v>
      </c>
      <c r="D57">
        <v>21</v>
      </c>
      <c r="Q57">
        <v>21</v>
      </c>
      <c r="R57">
        <v>12801.6</v>
      </c>
    </row>
    <row r="58" spans="2:18">
      <c r="B58" s="4">
        <v>7.5</v>
      </c>
      <c r="C58">
        <f t="shared" si="3"/>
        <v>13716</v>
      </c>
      <c r="D58">
        <v>24.8</v>
      </c>
      <c r="Q58">
        <v>24.8</v>
      </c>
      <c r="R58">
        <v>13716</v>
      </c>
    </row>
    <row r="59" spans="2:18">
      <c r="B59" s="4">
        <v>8</v>
      </c>
      <c r="C59">
        <f t="shared" si="3"/>
        <v>14630.4</v>
      </c>
      <c r="D59">
        <v>29.4</v>
      </c>
      <c r="Q59">
        <v>29.4</v>
      </c>
      <c r="R59">
        <v>14630.4</v>
      </c>
    </row>
    <row r="60" spans="2:18">
      <c r="B60" s="4">
        <v>8.5</v>
      </c>
      <c r="C60">
        <f t="shared" si="3"/>
        <v>15544.8</v>
      </c>
      <c r="D60">
        <v>35.9</v>
      </c>
      <c r="Q60">
        <v>35.9</v>
      </c>
      <c r="R60">
        <v>15544.8</v>
      </c>
    </row>
    <row r="65" spans="2:18">
      <c r="B65" t="s">
        <v>1</v>
      </c>
      <c r="C65" t="s">
        <v>8</v>
      </c>
      <c r="D65" t="s">
        <v>0</v>
      </c>
      <c r="E65" t="s">
        <v>8</v>
      </c>
      <c r="G65" s="5"/>
      <c r="H65" s="5"/>
      <c r="R65" t="s">
        <v>8</v>
      </c>
    </row>
    <row r="66" spans="2:18">
      <c r="B66" s="4">
        <v>0.5</v>
      </c>
      <c r="C66">
        <f>B66*$B$2</f>
        <v>914.4</v>
      </c>
      <c r="D66" s="4">
        <v>5</v>
      </c>
      <c r="E66">
        <f>0.3048*D66</f>
        <v>1.524</v>
      </c>
      <c r="G66" s="5"/>
      <c r="H66" s="5"/>
      <c r="Q66">
        <v>0.3</v>
      </c>
      <c r="R66">
        <v>1.524</v>
      </c>
    </row>
    <row r="67" spans="2:18">
      <c r="B67" s="4">
        <v>1</v>
      </c>
      <c r="C67">
        <f t="shared" ref="C67:C82" si="4">B67*$B$2</f>
        <v>1828.8</v>
      </c>
      <c r="D67" s="4">
        <v>22</v>
      </c>
      <c r="E67">
        <f t="shared" ref="E67:E82" si="5">0.3048*D67</f>
        <v>6.7056000000000004</v>
      </c>
      <c r="Q67">
        <v>0.8</v>
      </c>
      <c r="R67">
        <v>6.7056000000000004</v>
      </c>
    </row>
    <row r="68" spans="2:18">
      <c r="B68" s="4">
        <v>1.5</v>
      </c>
      <c r="C68">
        <f t="shared" si="4"/>
        <v>2743.2</v>
      </c>
      <c r="D68" s="4">
        <v>57</v>
      </c>
      <c r="E68">
        <f t="shared" si="5"/>
        <v>17.3736</v>
      </c>
      <c r="Q68">
        <v>1.3</v>
      </c>
      <c r="R68">
        <v>17.3736</v>
      </c>
    </row>
    <row r="69" spans="2:18">
      <c r="B69" s="4">
        <v>2</v>
      </c>
      <c r="C69">
        <f t="shared" si="4"/>
        <v>3657.6</v>
      </c>
      <c r="D69" s="4">
        <v>118</v>
      </c>
      <c r="E69">
        <f t="shared" si="5"/>
        <v>35.9664</v>
      </c>
      <c r="Q69">
        <v>1.9</v>
      </c>
      <c r="R69">
        <v>35.9664</v>
      </c>
    </row>
    <row r="70" spans="2:18">
      <c r="B70" s="4">
        <v>2.5</v>
      </c>
      <c r="C70">
        <f t="shared" si="4"/>
        <v>4572</v>
      </c>
      <c r="D70" s="4">
        <v>217</v>
      </c>
      <c r="E70">
        <f t="shared" si="5"/>
        <v>66.141599999999997</v>
      </c>
      <c r="Q70">
        <v>2.6</v>
      </c>
      <c r="R70">
        <v>66.141599999999997</v>
      </c>
    </row>
    <row r="71" spans="2:18">
      <c r="B71" s="4">
        <v>3</v>
      </c>
      <c r="C71">
        <f t="shared" si="4"/>
        <v>5486.4</v>
      </c>
      <c r="D71" s="4">
        <v>371</v>
      </c>
      <c r="E71">
        <f t="shared" si="5"/>
        <v>113.08080000000001</v>
      </c>
      <c r="Q71">
        <v>3.6</v>
      </c>
      <c r="R71">
        <v>113.08080000000001</v>
      </c>
    </row>
    <row r="72" spans="2:18">
      <c r="B72" s="4">
        <v>3.5</v>
      </c>
      <c r="C72">
        <f t="shared" si="4"/>
        <v>6400.8</v>
      </c>
      <c r="D72" s="4">
        <v>613</v>
      </c>
      <c r="E72">
        <f t="shared" si="5"/>
        <v>186.8424</v>
      </c>
      <c r="Q72">
        <v>4.8</v>
      </c>
      <c r="R72">
        <v>186.8424</v>
      </c>
    </row>
    <row r="73" spans="2:18">
      <c r="B73" s="4">
        <v>4</v>
      </c>
      <c r="C73">
        <f t="shared" si="4"/>
        <v>7315.2</v>
      </c>
      <c r="D73" s="4">
        <v>965</v>
      </c>
      <c r="E73">
        <f t="shared" si="5"/>
        <v>294.13200000000001</v>
      </c>
      <c r="Q73">
        <v>6.3</v>
      </c>
      <c r="R73">
        <v>294.13200000000001</v>
      </c>
    </row>
    <row r="74" spans="2:18">
      <c r="B74" s="4">
        <v>4.5</v>
      </c>
      <c r="C74">
        <f t="shared" si="4"/>
        <v>8229.6</v>
      </c>
      <c r="D74" s="4">
        <v>1443</v>
      </c>
      <c r="E74">
        <f t="shared" si="5"/>
        <v>439.82640000000004</v>
      </c>
      <c r="Q74">
        <v>8</v>
      </c>
      <c r="R74">
        <v>439.82640000000004</v>
      </c>
    </row>
    <row r="75" spans="2:18">
      <c r="B75" s="4">
        <v>5</v>
      </c>
      <c r="C75">
        <f t="shared" si="4"/>
        <v>9144</v>
      </c>
      <c r="D75" s="4">
        <v>2057</v>
      </c>
      <c r="E75">
        <f t="shared" si="5"/>
        <v>626.97360000000003</v>
      </c>
      <c r="Q75">
        <v>10.1</v>
      </c>
      <c r="R75">
        <v>626.97360000000003</v>
      </c>
    </row>
    <row r="76" spans="2:18">
      <c r="B76" s="4">
        <v>5.5</v>
      </c>
      <c r="C76">
        <f t="shared" si="4"/>
        <v>10058.4</v>
      </c>
      <c r="D76" s="4">
        <v>2822</v>
      </c>
      <c r="E76">
        <f t="shared" si="5"/>
        <v>860.14560000000006</v>
      </c>
      <c r="Q76">
        <v>12.3</v>
      </c>
      <c r="R76">
        <v>860.14560000000006</v>
      </c>
    </row>
    <row r="77" spans="2:18">
      <c r="B77" s="4">
        <v>6</v>
      </c>
      <c r="C77">
        <f t="shared" si="4"/>
        <v>10972.8</v>
      </c>
      <c r="D77" s="4">
        <v>3763</v>
      </c>
      <c r="E77">
        <f t="shared" si="5"/>
        <v>1146.9624000000001</v>
      </c>
      <c r="Q77">
        <v>14.9</v>
      </c>
      <c r="R77">
        <v>1146.9624000000001</v>
      </c>
    </row>
    <row r="78" spans="2:18">
      <c r="B78" s="4">
        <v>6.5</v>
      </c>
      <c r="C78">
        <f t="shared" si="4"/>
        <v>11887.199999999999</v>
      </c>
      <c r="D78" s="4">
        <v>4909</v>
      </c>
      <c r="E78">
        <f t="shared" si="5"/>
        <v>1496.2632000000001</v>
      </c>
      <c r="Q78">
        <v>17.8</v>
      </c>
      <c r="R78">
        <v>1496.2632000000001</v>
      </c>
    </row>
    <row r="79" spans="2:18">
      <c r="B79" s="4">
        <v>7</v>
      </c>
      <c r="C79">
        <f t="shared" si="4"/>
        <v>12801.6</v>
      </c>
      <c r="D79" s="4">
        <v>6314</v>
      </c>
      <c r="E79">
        <f t="shared" si="5"/>
        <v>1924.5072</v>
      </c>
      <c r="Q79">
        <v>21</v>
      </c>
      <c r="R79">
        <v>1924.5072</v>
      </c>
    </row>
    <row r="80" spans="2:18">
      <c r="B80" s="4">
        <v>7.5</v>
      </c>
      <c r="C80">
        <f t="shared" si="4"/>
        <v>13716</v>
      </c>
      <c r="D80" s="4">
        <v>8067</v>
      </c>
      <c r="E80">
        <f t="shared" si="5"/>
        <v>2458.8216000000002</v>
      </c>
      <c r="Q80">
        <v>24.8</v>
      </c>
      <c r="R80">
        <v>2458.8216000000002</v>
      </c>
    </row>
    <row r="81" spans="2:18">
      <c r="B81" s="4">
        <v>8</v>
      </c>
      <c r="C81">
        <f t="shared" si="4"/>
        <v>14630.4</v>
      </c>
      <c r="D81" s="4">
        <v>10377</v>
      </c>
      <c r="E81">
        <f t="shared" si="5"/>
        <v>3162.9096</v>
      </c>
      <c r="Q81">
        <v>29.4</v>
      </c>
      <c r="R81">
        <v>3162.9096</v>
      </c>
    </row>
    <row r="82" spans="2:18">
      <c r="B82" s="4">
        <v>8.5</v>
      </c>
      <c r="C82">
        <f t="shared" si="4"/>
        <v>15544.8</v>
      </c>
      <c r="D82" s="4">
        <v>13822</v>
      </c>
      <c r="E82">
        <f t="shared" si="5"/>
        <v>4212.9456</v>
      </c>
      <c r="Q82">
        <v>35.9</v>
      </c>
      <c r="R82">
        <v>4212.9456</v>
      </c>
    </row>
    <row r="86" spans="2:18">
      <c r="R86" t="s">
        <v>8</v>
      </c>
    </row>
    <row r="87" spans="2:18">
      <c r="Q87">
        <v>0.3</v>
      </c>
      <c r="R87">
        <v>1.524</v>
      </c>
    </row>
    <row r="88" spans="2:18">
      <c r="Q88">
        <v>0.8</v>
      </c>
      <c r="R88">
        <v>6.7056000000000004</v>
      </c>
    </row>
    <row r="89" spans="2:18">
      <c r="Q89">
        <v>1.3</v>
      </c>
      <c r="R89">
        <v>17.3736</v>
      </c>
    </row>
    <row r="90" spans="2:18">
      <c r="Q90">
        <v>1.9</v>
      </c>
      <c r="R90">
        <v>35.9664</v>
      </c>
    </row>
    <row r="91" spans="2:18">
      <c r="Q91">
        <v>2.6</v>
      </c>
      <c r="R91">
        <v>66.141599999999997</v>
      </c>
    </row>
    <row r="92" spans="2:18">
      <c r="Q92">
        <v>3.6</v>
      </c>
      <c r="R92">
        <v>113.08080000000001</v>
      </c>
    </row>
    <row r="93" spans="2:18">
      <c r="Q93">
        <v>4.8</v>
      </c>
      <c r="R93">
        <v>186.8424</v>
      </c>
    </row>
    <row r="94" spans="2:18">
      <c r="Q94">
        <v>6.3</v>
      </c>
      <c r="R94">
        <v>294.13200000000001</v>
      </c>
    </row>
    <row r="95" spans="2:18">
      <c r="Q95">
        <v>8</v>
      </c>
      <c r="R95">
        <v>439.82640000000004</v>
      </c>
    </row>
    <row r="96" spans="2:18">
      <c r="Q96">
        <v>10.1</v>
      </c>
      <c r="R96">
        <v>626.97360000000003</v>
      </c>
    </row>
    <row r="97" spans="17:18">
      <c r="Q97">
        <v>12.3</v>
      </c>
      <c r="R97">
        <v>860.14560000000006</v>
      </c>
    </row>
    <row r="98" spans="17:18">
      <c r="Q98">
        <v>14.9</v>
      </c>
      <c r="R98">
        <v>1146.9624000000001</v>
      </c>
    </row>
    <row r="99" spans="17:18">
      <c r="Q99">
        <v>17.8</v>
      </c>
      <c r="R99">
        <v>1496.2632000000001</v>
      </c>
    </row>
    <row r="100" spans="17:18">
      <c r="Q100">
        <v>21</v>
      </c>
      <c r="R100">
        <v>1924.5072</v>
      </c>
    </row>
    <row r="101" spans="17:18">
      <c r="Q101">
        <v>24.8</v>
      </c>
      <c r="R101">
        <v>2458.8216000000002</v>
      </c>
    </row>
    <row r="102" spans="17:18">
      <c r="Q102">
        <v>29.4</v>
      </c>
      <c r="R102">
        <v>3162.9096</v>
      </c>
    </row>
    <row r="103" spans="17:18">
      <c r="Q103">
        <v>35.9</v>
      </c>
      <c r="R103">
        <v>4212.9456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4:G147"/>
  <sheetViews>
    <sheetView workbookViewId="0">
      <selection activeCell="B23" sqref="B23"/>
    </sheetView>
  </sheetViews>
  <sheetFormatPr defaultRowHeight="15"/>
  <cols>
    <col min="15" max="15" width="14.42578125" customWidth="1"/>
  </cols>
  <sheetData>
    <row r="4" spans="1:5">
      <c r="B4" t="s">
        <v>23</v>
      </c>
      <c r="C4" t="s">
        <v>53</v>
      </c>
      <c r="D4" t="s">
        <v>58</v>
      </c>
      <c r="E4" t="s">
        <v>59</v>
      </c>
    </row>
    <row r="5" spans="1:5">
      <c r="A5">
        <v>0</v>
      </c>
      <c r="B5">
        <f>A5*0.001</f>
        <v>0</v>
      </c>
      <c r="C5" s="10">
        <v>0</v>
      </c>
      <c r="D5" s="9">
        <f xml:space="preserve"> 0.000640365*POWER(B5,4) - 0.011721821 * POWER(B5,3) +0.17811014*POWER(B5,2) - 0.0000715649*B5</f>
        <v>0</v>
      </c>
      <c r="E5" s="8">
        <f>D5-C5</f>
        <v>0</v>
      </c>
    </row>
    <row r="6" spans="1:5">
      <c r="A6">
        <v>914.4</v>
      </c>
      <c r="B6" s="11">
        <f>A6*0.001</f>
        <v>0.91439999999999999</v>
      </c>
      <c r="C6" s="10">
        <v>0.3</v>
      </c>
      <c r="D6" s="9">
        <f t="shared" ref="D6:D22" si="0" xml:space="preserve"> 0.000640365*POWER(B6,4) - 0.011721821 * POWER(B6,3) +0.17811014*POWER(B6,2) - 0.0000715649*B6</f>
        <v>0.14034303192344269</v>
      </c>
      <c r="E6" s="8">
        <f>D6-C6</f>
        <v>-0.1596569680765573</v>
      </c>
    </row>
    <row r="7" spans="1:5">
      <c r="A7">
        <v>1828.8</v>
      </c>
      <c r="B7" s="11">
        <f t="shared" ref="B7:B22" si="1">A7*0.001</f>
        <v>1.8288</v>
      </c>
      <c r="C7" s="10">
        <v>0.8</v>
      </c>
      <c r="D7" s="9">
        <f t="shared" si="0"/>
        <v>0.53102732374950889</v>
      </c>
      <c r="E7" s="8">
        <f>D7-C7</f>
        <v>-0.26897267625049115</v>
      </c>
    </row>
    <row r="8" spans="1:5">
      <c r="A8">
        <v>2743.2</v>
      </c>
      <c r="B8" s="11">
        <f t="shared" si="1"/>
        <v>2.7431999999999999</v>
      </c>
      <c r="C8" s="10">
        <v>1.3</v>
      </c>
      <c r="D8" s="9">
        <f t="shared" si="0"/>
        <v>1.1343976811178667</v>
      </c>
      <c r="E8" s="8">
        <f>D8-C8</f>
        <v>-0.16560231888213339</v>
      </c>
    </row>
    <row r="9" spans="1:5">
      <c r="A9">
        <v>3657.6</v>
      </c>
      <c r="B9" s="11">
        <f t="shared" si="1"/>
        <v>3.6576</v>
      </c>
      <c r="C9" s="10">
        <v>1.9</v>
      </c>
      <c r="D9" s="9">
        <f t="shared" si="0"/>
        <v>1.9235433475211718</v>
      </c>
      <c r="E9" s="8">
        <f t="shared" ref="E9:E22" si="2">D9-C9</f>
        <v>2.3543347521171931E-2</v>
      </c>
    </row>
    <row r="10" spans="1:5">
      <c r="A10">
        <v>4572</v>
      </c>
      <c r="B10" s="11">
        <f t="shared" si="1"/>
        <v>4.5720000000000001</v>
      </c>
      <c r="C10" s="10">
        <v>2.6</v>
      </c>
      <c r="D10" s="9">
        <f t="shared" si="0"/>
        <v>2.882298004305067</v>
      </c>
      <c r="E10" s="8">
        <f t="shared" si="2"/>
        <v>0.28229800430506691</v>
      </c>
    </row>
    <row r="11" spans="1:5">
      <c r="A11">
        <v>5486.4</v>
      </c>
      <c r="B11" s="11">
        <f t="shared" si="1"/>
        <v>5.4863999999999997</v>
      </c>
      <c r="C11" s="10">
        <v>3.6</v>
      </c>
      <c r="D11" s="9">
        <f t="shared" si="0"/>
        <v>4.005239770668183</v>
      </c>
      <c r="E11" s="8">
        <f t="shared" si="2"/>
        <v>0.40523977066818295</v>
      </c>
    </row>
    <row r="12" spans="1:5">
      <c r="A12">
        <v>6400.8</v>
      </c>
      <c r="B12" s="11">
        <f t="shared" si="1"/>
        <v>6.4008000000000003</v>
      </c>
      <c r="C12" s="10">
        <v>4.8</v>
      </c>
      <c r="D12" s="9">
        <f t="shared" si="0"/>
        <v>5.2976912036621382</v>
      </c>
      <c r="E12" s="8">
        <f t="shared" si="2"/>
        <v>0.49769120366213837</v>
      </c>
    </row>
    <row r="13" spans="1:5">
      <c r="A13">
        <v>7315.2</v>
      </c>
      <c r="B13" s="11">
        <f t="shared" si="1"/>
        <v>7.3151999999999999</v>
      </c>
      <c r="C13" s="10">
        <v>6.3</v>
      </c>
      <c r="D13" s="9">
        <f t="shared" si="0"/>
        <v>6.7757192981915377</v>
      </c>
      <c r="E13" s="8">
        <f t="shared" si="2"/>
        <v>0.47571929819153791</v>
      </c>
    </row>
    <row r="14" spans="1:5">
      <c r="A14">
        <v>8229.6</v>
      </c>
      <c r="B14" s="11">
        <f t="shared" si="1"/>
        <v>8.2296000000000014</v>
      </c>
      <c r="C14" s="10">
        <v>8</v>
      </c>
      <c r="D14" s="9">
        <f t="shared" si="0"/>
        <v>8.4661354870139789</v>
      </c>
      <c r="E14" s="8">
        <f t="shared" si="2"/>
        <v>0.46613548701397889</v>
      </c>
    </row>
    <row r="15" spans="1:5">
      <c r="A15">
        <v>9144</v>
      </c>
      <c r="B15" s="11">
        <f t="shared" si="1"/>
        <v>9.1440000000000001</v>
      </c>
      <c r="C15" s="10">
        <v>10.1</v>
      </c>
      <c r="D15" s="9">
        <f t="shared" si="0"/>
        <v>10.406495640740028</v>
      </c>
      <c r="E15" s="8">
        <f t="shared" si="2"/>
        <v>0.30649564074002811</v>
      </c>
    </row>
    <row r="16" spans="1:5">
      <c r="A16">
        <v>10058.4</v>
      </c>
      <c r="B16" s="11">
        <f t="shared" si="1"/>
        <v>10.058400000000001</v>
      </c>
      <c r="C16" s="10">
        <v>12.3</v>
      </c>
      <c r="D16" s="9">
        <f t="shared" si="0"/>
        <v>12.645100067833273</v>
      </c>
      <c r="E16" s="8">
        <f t="shared" si="2"/>
        <v>0.34510006783327185</v>
      </c>
    </row>
    <row r="17" spans="1:5">
      <c r="A17">
        <v>10972.8</v>
      </c>
      <c r="B17" s="11">
        <f t="shared" si="1"/>
        <v>10.972799999999999</v>
      </c>
      <c r="C17" s="10">
        <v>14.9</v>
      </c>
      <c r="D17" s="9">
        <f t="shared" si="0"/>
        <v>15.240993514610247</v>
      </c>
      <c r="E17" s="8">
        <f t="shared" si="2"/>
        <v>0.34099351461024696</v>
      </c>
    </row>
    <row r="18" spans="1:5">
      <c r="A18">
        <v>11887.199999999999</v>
      </c>
      <c r="B18" s="11">
        <f t="shared" si="1"/>
        <v>11.8872</v>
      </c>
      <c r="C18" s="10">
        <v>17.8</v>
      </c>
      <c r="D18" s="9">
        <f t="shared" si="0"/>
        <v>18.263965165240521</v>
      </c>
      <c r="E18" s="8">
        <f t="shared" si="2"/>
        <v>0.46396516524051989</v>
      </c>
    </row>
    <row r="19" spans="1:5">
      <c r="A19">
        <v>12801.6</v>
      </c>
      <c r="B19" s="11">
        <f t="shared" si="1"/>
        <v>12.801600000000001</v>
      </c>
      <c r="C19" s="10">
        <v>21</v>
      </c>
      <c r="D19" s="9">
        <f t="shared" si="0"/>
        <v>21.794548641746598</v>
      </c>
      <c r="E19" s="8">
        <f t="shared" si="2"/>
        <v>0.79454864174659789</v>
      </c>
    </row>
    <row r="20" spans="1:5">
      <c r="A20">
        <v>13716</v>
      </c>
      <c r="B20" s="11">
        <f t="shared" si="1"/>
        <v>13.716000000000001</v>
      </c>
      <c r="C20" s="10">
        <v>24.8</v>
      </c>
      <c r="D20" s="9">
        <f t="shared" si="0"/>
        <v>25.924022004004023</v>
      </c>
      <c r="E20" s="8">
        <f t="shared" si="2"/>
        <v>1.1240220040040221</v>
      </c>
    </row>
    <row r="21" spans="1:5">
      <c r="A21">
        <v>14630.4</v>
      </c>
      <c r="B21" s="11">
        <f t="shared" si="1"/>
        <v>14.6304</v>
      </c>
      <c r="C21" s="10">
        <v>29.4</v>
      </c>
      <c r="D21" s="9">
        <f t="shared" si="0"/>
        <v>30.754407749741269</v>
      </c>
      <c r="E21" s="8">
        <f t="shared" si="2"/>
        <v>1.3544077497412701</v>
      </c>
    </row>
    <row r="22" spans="1:5">
      <c r="A22">
        <v>15544.8</v>
      </c>
      <c r="B22" s="11">
        <f t="shared" si="1"/>
        <v>15.5448</v>
      </c>
      <c r="C22" s="10">
        <v>35.9</v>
      </c>
      <c r="D22" s="9">
        <f t="shared" si="0"/>
        <v>36.398472814539858</v>
      </c>
      <c r="E22" s="8">
        <f t="shared" si="2"/>
        <v>0.49847281453985914</v>
      </c>
    </row>
    <row r="23" spans="1:5">
      <c r="E23">
        <f>AVERAGE(E5:E22)</f>
        <v>0.3769111525893728</v>
      </c>
    </row>
    <row r="25" spans="1:5">
      <c r="B25" t="s">
        <v>21</v>
      </c>
      <c r="C25" t="s">
        <v>41</v>
      </c>
    </row>
    <row r="26" spans="1:5">
      <c r="B26" s="11">
        <v>0</v>
      </c>
      <c r="C26">
        <v>0</v>
      </c>
    </row>
    <row r="27" spans="1:5">
      <c r="A27">
        <v>914.4</v>
      </c>
      <c r="B27" s="11">
        <f>A27*0.001</f>
        <v>0.91439999999999999</v>
      </c>
      <c r="C27">
        <v>1.1000000000000001</v>
      </c>
    </row>
    <row r="28" spans="1:5">
      <c r="A28">
        <v>1828.8</v>
      </c>
      <c r="B28" s="11">
        <f t="shared" ref="B28:B43" si="3">A28*0.001</f>
        <v>1.8288</v>
      </c>
      <c r="C28">
        <v>2.2999999999999998</v>
      </c>
    </row>
    <row r="29" spans="1:5">
      <c r="A29">
        <v>2743.2</v>
      </c>
      <c r="B29" s="11">
        <f t="shared" si="3"/>
        <v>2.7431999999999999</v>
      </c>
      <c r="C29">
        <v>3.7</v>
      </c>
    </row>
    <row r="30" spans="1:5">
      <c r="A30">
        <v>3657.6</v>
      </c>
      <c r="B30" s="11">
        <f t="shared" si="3"/>
        <v>3.6576</v>
      </c>
      <c r="C30">
        <v>5.4</v>
      </c>
    </row>
    <row r="31" spans="1:5">
      <c r="A31">
        <v>4572</v>
      </c>
      <c r="B31" s="11">
        <f t="shared" si="3"/>
        <v>4.5720000000000001</v>
      </c>
      <c r="C31">
        <v>7.3</v>
      </c>
    </row>
    <row r="32" spans="1:5">
      <c r="A32">
        <v>5486.4</v>
      </c>
      <c r="B32" s="11">
        <f t="shared" si="3"/>
        <v>5.4863999999999997</v>
      </c>
      <c r="C32">
        <v>9.6</v>
      </c>
    </row>
    <row r="33" spans="1:3">
      <c r="A33">
        <v>6400.8</v>
      </c>
      <c r="B33" s="11">
        <f t="shared" si="3"/>
        <v>6.4008000000000003</v>
      </c>
      <c r="C33">
        <v>12.2</v>
      </c>
    </row>
    <row r="34" spans="1:3">
      <c r="A34">
        <v>7315.2</v>
      </c>
      <c r="B34" s="11">
        <f t="shared" si="3"/>
        <v>7.3151999999999999</v>
      </c>
      <c r="C34">
        <v>15.2</v>
      </c>
    </row>
    <row r="35" spans="1:3">
      <c r="A35">
        <v>8229.6</v>
      </c>
      <c r="B35" s="11">
        <f t="shared" si="3"/>
        <v>8.2296000000000014</v>
      </c>
      <c r="C35">
        <v>18.3</v>
      </c>
    </row>
    <row r="36" spans="1:3">
      <c r="A36">
        <v>9144</v>
      </c>
      <c r="B36" s="11">
        <f t="shared" si="3"/>
        <v>9.1440000000000001</v>
      </c>
      <c r="C36">
        <v>21.5</v>
      </c>
    </row>
    <row r="37" spans="1:3">
      <c r="A37">
        <v>10058.4</v>
      </c>
      <c r="B37" s="11">
        <f t="shared" si="3"/>
        <v>10.058400000000001</v>
      </c>
      <c r="C37">
        <v>25</v>
      </c>
    </row>
    <row r="38" spans="1:3">
      <c r="A38">
        <v>10972.8</v>
      </c>
      <c r="B38" s="11">
        <f t="shared" si="3"/>
        <v>10.972799999999999</v>
      </c>
      <c r="C38">
        <v>28.8</v>
      </c>
    </row>
    <row r="39" spans="1:3">
      <c r="A39">
        <v>11887.199999999999</v>
      </c>
      <c r="B39" s="11">
        <f t="shared" si="3"/>
        <v>11.8872</v>
      </c>
      <c r="C39">
        <v>32.799999999999997</v>
      </c>
    </row>
    <row r="40" spans="1:3">
      <c r="A40">
        <v>12801.6</v>
      </c>
      <c r="B40" s="11">
        <f t="shared" si="3"/>
        <v>12.801600000000001</v>
      </c>
      <c r="C40">
        <v>37.200000000000003</v>
      </c>
    </row>
    <row r="41" spans="1:3">
      <c r="A41">
        <v>13716</v>
      </c>
      <c r="B41" s="11">
        <f t="shared" si="3"/>
        <v>13.716000000000001</v>
      </c>
      <c r="C41">
        <v>42.2</v>
      </c>
    </row>
    <row r="42" spans="1:3">
      <c r="A42">
        <v>14630.4</v>
      </c>
      <c r="B42" s="11">
        <f t="shared" si="3"/>
        <v>14.6304</v>
      </c>
      <c r="C42">
        <v>48</v>
      </c>
    </row>
    <row r="43" spans="1:3">
      <c r="A43">
        <v>15544.8</v>
      </c>
      <c r="B43" s="11">
        <f t="shared" si="3"/>
        <v>15.5448</v>
      </c>
      <c r="C43">
        <v>55.8</v>
      </c>
    </row>
    <row r="47" spans="1:3">
      <c r="B47" t="s">
        <v>8</v>
      </c>
      <c r="C47" t="s">
        <v>8</v>
      </c>
    </row>
    <row r="48" spans="1:3">
      <c r="B48" s="11">
        <v>0</v>
      </c>
      <c r="C48">
        <v>0</v>
      </c>
    </row>
    <row r="49" spans="1:4">
      <c r="A49">
        <v>914.4</v>
      </c>
      <c r="B49" s="11">
        <f>A49*0.001</f>
        <v>0.91439999999999999</v>
      </c>
      <c r="C49">
        <v>1.524</v>
      </c>
      <c r="D49">
        <f>C49*0.001</f>
        <v>1.524E-3</v>
      </c>
    </row>
    <row r="50" spans="1:4">
      <c r="A50">
        <v>1828.8</v>
      </c>
      <c r="B50" s="11">
        <f t="shared" ref="B50:B65" si="4">A50*0.001</f>
        <v>1.8288</v>
      </c>
      <c r="C50">
        <v>6.7056000000000004</v>
      </c>
      <c r="D50">
        <f t="shared" ref="D50:D65" si="5">C50*0.001</f>
        <v>6.7056000000000008E-3</v>
      </c>
    </row>
    <row r="51" spans="1:4">
      <c r="A51">
        <v>2743.2</v>
      </c>
      <c r="B51" s="11">
        <f t="shared" si="4"/>
        <v>2.7431999999999999</v>
      </c>
      <c r="C51">
        <v>17.3736</v>
      </c>
      <c r="D51">
        <f t="shared" si="5"/>
        <v>1.7373599999999999E-2</v>
      </c>
    </row>
    <row r="52" spans="1:4">
      <c r="A52">
        <v>3657.6</v>
      </c>
      <c r="B52" s="11">
        <f t="shared" si="4"/>
        <v>3.6576</v>
      </c>
      <c r="C52">
        <v>35.9664</v>
      </c>
      <c r="D52">
        <f t="shared" si="5"/>
        <v>3.5966400000000003E-2</v>
      </c>
    </row>
    <row r="53" spans="1:4">
      <c r="A53">
        <v>4572</v>
      </c>
      <c r="B53" s="11">
        <f t="shared" si="4"/>
        <v>4.5720000000000001</v>
      </c>
      <c r="C53">
        <v>66.141599999999997</v>
      </c>
      <c r="D53">
        <f t="shared" si="5"/>
        <v>6.6141599999999995E-2</v>
      </c>
    </row>
    <row r="54" spans="1:4">
      <c r="A54">
        <v>5486.4</v>
      </c>
      <c r="B54" s="11">
        <f t="shared" si="4"/>
        <v>5.4863999999999997</v>
      </c>
      <c r="C54">
        <v>113.08080000000001</v>
      </c>
      <c r="D54">
        <f t="shared" si="5"/>
        <v>0.11308080000000001</v>
      </c>
    </row>
    <row r="55" spans="1:4">
      <c r="A55">
        <v>6400.8</v>
      </c>
      <c r="B55" s="11">
        <f t="shared" si="4"/>
        <v>6.4008000000000003</v>
      </c>
      <c r="C55">
        <v>186.8424</v>
      </c>
      <c r="D55">
        <f t="shared" si="5"/>
        <v>0.18684239999999999</v>
      </c>
    </row>
    <row r="56" spans="1:4">
      <c r="A56">
        <v>7315.2</v>
      </c>
      <c r="B56" s="11">
        <f t="shared" si="4"/>
        <v>7.3151999999999999</v>
      </c>
      <c r="C56">
        <v>294.13200000000001</v>
      </c>
      <c r="D56">
        <f t="shared" si="5"/>
        <v>0.294132</v>
      </c>
    </row>
    <row r="57" spans="1:4">
      <c r="A57">
        <v>8229.6</v>
      </c>
      <c r="B57" s="11">
        <f t="shared" si="4"/>
        <v>8.2296000000000014</v>
      </c>
      <c r="C57">
        <v>439.82640000000004</v>
      </c>
      <c r="D57">
        <f t="shared" si="5"/>
        <v>0.43982640000000006</v>
      </c>
    </row>
    <row r="58" spans="1:4">
      <c r="A58">
        <v>9144</v>
      </c>
      <c r="B58" s="11">
        <f t="shared" si="4"/>
        <v>9.1440000000000001</v>
      </c>
      <c r="C58">
        <v>626.97360000000003</v>
      </c>
      <c r="D58">
        <f t="shared" si="5"/>
        <v>0.62697360000000002</v>
      </c>
    </row>
    <row r="59" spans="1:4">
      <c r="A59">
        <v>10058.4</v>
      </c>
      <c r="B59" s="11">
        <f t="shared" si="4"/>
        <v>10.058400000000001</v>
      </c>
      <c r="C59">
        <v>860.14560000000006</v>
      </c>
      <c r="D59">
        <f t="shared" si="5"/>
        <v>0.86014560000000007</v>
      </c>
    </row>
    <row r="60" spans="1:4">
      <c r="A60">
        <v>10972.8</v>
      </c>
      <c r="B60" s="11">
        <f t="shared" si="4"/>
        <v>10.972799999999999</v>
      </c>
      <c r="C60">
        <v>1146.9624000000001</v>
      </c>
      <c r="D60">
        <f t="shared" si="5"/>
        <v>1.1469624</v>
      </c>
    </row>
    <row r="61" spans="1:4">
      <c r="A61">
        <v>11887.199999999999</v>
      </c>
      <c r="B61" s="11">
        <f t="shared" si="4"/>
        <v>11.8872</v>
      </c>
      <c r="C61">
        <v>1496.2632000000001</v>
      </c>
      <c r="D61">
        <f t="shared" si="5"/>
        <v>1.4962632000000002</v>
      </c>
    </row>
    <row r="62" spans="1:4">
      <c r="A62">
        <v>12801.6</v>
      </c>
      <c r="B62" s="11">
        <f t="shared" si="4"/>
        <v>12.801600000000001</v>
      </c>
      <c r="C62">
        <v>1924.5072</v>
      </c>
      <c r="D62">
        <f t="shared" si="5"/>
        <v>1.9245072000000001</v>
      </c>
    </row>
    <row r="63" spans="1:4">
      <c r="A63">
        <v>13716</v>
      </c>
      <c r="B63" s="11">
        <f t="shared" si="4"/>
        <v>13.716000000000001</v>
      </c>
      <c r="C63">
        <v>2458.8216000000002</v>
      </c>
      <c r="D63">
        <f t="shared" si="5"/>
        <v>2.4588216000000003</v>
      </c>
    </row>
    <row r="64" spans="1:4">
      <c r="A64">
        <v>14630.4</v>
      </c>
      <c r="B64" s="11">
        <f t="shared" si="4"/>
        <v>14.6304</v>
      </c>
      <c r="C64">
        <v>3162.9096</v>
      </c>
      <c r="D64">
        <f t="shared" si="5"/>
        <v>3.1629095999999999</v>
      </c>
    </row>
    <row r="65" spans="1:5">
      <c r="A65">
        <v>15544.8</v>
      </c>
      <c r="B65" s="11">
        <f t="shared" si="4"/>
        <v>15.5448</v>
      </c>
      <c r="C65">
        <v>4212.9456</v>
      </c>
      <c r="D65">
        <f t="shared" si="5"/>
        <v>4.2129456000000003</v>
      </c>
    </row>
    <row r="71" spans="1:5">
      <c r="E71" t="s">
        <v>55</v>
      </c>
    </row>
    <row r="72" spans="1:5">
      <c r="B72" t="s">
        <v>30</v>
      </c>
      <c r="C72" t="s">
        <v>23</v>
      </c>
    </row>
    <row r="73" spans="1:5">
      <c r="B73">
        <v>0</v>
      </c>
      <c r="C73">
        <v>0</v>
      </c>
    </row>
    <row r="74" spans="1:5">
      <c r="B74">
        <v>1.1000000000000001</v>
      </c>
      <c r="C74">
        <v>914.4</v>
      </c>
    </row>
    <row r="75" spans="1:5">
      <c r="B75">
        <v>2.2999999999999998</v>
      </c>
      <c r="C75">
        <v>1828.8</v>
      </c>
    </row>
    <row r="76" spans="1:5">
      <c r="B76">
        <v>3.7</v>
      </c>
      <c r="C76">
        <v>2743.2</v>
      </c>
    </row>
    <row r="77" spans="1:5">
      <c r="B77">
        <v>5.4</v>
      </c>
      <c r="C77">
        <v>3657.6</v>
      </c>
    </row>
    <row r="78" spans="1:5">
      <c r="B78">
        <v>7.3</v>
      </c>
      <c r="C78">
        <v>4572</v>
      </c>
    </row>
    <row r="79" spans="1:5">
      <c r="B79">
        <v>9.6</v>
      </c>
      <c r="C79">
        <v>5486.4</v>
      </c>
    </row>
    <row r="80" spans="1:5">
      <c r="B80">
        <v>12.2</v>
      </c>
      <c r="C80">
        <v>6400.8</v>
      </c>
    </row>
    <row r="81" spans="1:4">
      <c r="B81">
        <v>15.2</v>
      </c>
      <c r="C81">
        <v>7315.2</v>
      </c>
    </row>
    <row r="82" spans="1:4">
      <c r="B82">
        <v>18.3</v>
      </c>
      <c r="C82">
        <v>8229.6</v>
      </c>
    </row>
    <row r="83" spans="1:4">
      <c r="B83">
        <v>21.5</v>
      </c>
      <c r="C83">
        <v>9144</v>
      </c>
    </row>
    <row r="84" spans="1:4">
      <c r="B84">
        <v>25</v>
      </c>
      <c r="C84">
        <v>10058.4</v>
      </c>
    </row>
    <row r="85" spans="1:4">
      <c r="B85">
        <v>28.8</v>
      </c>
      <c r="C85">
        <v>10972.8</v>
      </c>
    </row>
    <row r="86" spans="1:4">
      <c r="B86">
        <v>32.799999999999997</v>
      </c>
      <c r="C86">
        <v>11887.199999999999</v>
      </c>
    </row>
    <row r="87" spans="1:4">
      <c r="B87">
        <v>37.200000000000003</v>
      </c>
      <c r="C87">
        <v>12801.6</v>
      </c>
    </row>
    <row r="88" spans="1:4">
      <c r="B88">
        <v>42.2</v>
      </c>
      <c r="C88">
        <v>13716</v>
      </c>
    </row>
    <row r="89" spans="1:4">
      <c r="B89">
        <v>48</v>
      </c>
      <c r="C89">
        <v>14630.4</v>
      </c>
    </row>
    <row r="90" spans="1:4">
      <c r="B90">
        <v>55.8</v>
      </c>
      <c r="C90">
        <v>15544.8</v>
      </c>
    </row>
    <row r="93" spans="1:4">
      <c r="A93" t="s">
        <v>23</v>
      </c>
    </row>
    <row r="94" spans="1:4">
      <c r="A94">
        <v>914.4</v>
      </c>
      <c r="B94" t="s">
        <v>30</v>
      </c>
      <c r="C94" t="s">
        <v>54</v>
      </c>
      <c r="D94" t="s">
        <v>53</v>
      </c>
    </row>
    <row r="95" spans="1:4">
      <c r="A95">
        <v>1828.8</v>
      </c>
      <c r="B95">
        <v>1.1000000000000001</v>
      </c>
      <c r="C95">
        <v>1.524</v>
      </c>
      <c r="D95">
        <v>0.3</v>
      </c>
    </row>
    <row r="96" spans="1:4">
      <c r="A96">
        <v>2743.2</v>
      </c>
      <c r="B96">
        <v>2.2999999999999998</v>
      </c>
      <c r="C96">
        <v>6.7056000000000004</v>
      </c>
      <c r="D96">
        <v>0.8</v>
      </c>
    </row>
    <row r="97" spans="1:4">
      <c r="A97">
        <v>3657.6</v>
      </c>
      <c r="B97">
        <v>3.7</v>
      </c>
      <c r="C97">
        <v>17.3736</v>
      </c>
      <c r="D97">
        <v>1.3</v>
      </c>
    </row>
    <row r="98" spans="1:4">
      <c r="A98">
        <v>4572</v>
      </c>
      <c r="B98">
        <v>5.4</v>
      </c>
      <c r="C98">
        <v>35.9664</v>
      </c>
      <c r="D98">
        <v>1.9</v>
      </c>
    </row>
    <row r="99" spans="1:4">
      <c r="A99">
        <v>5486.4</v>
      </c>
      <c r="B99">
        <v>7.3</v>
      </c>
      <c r="C99">
        <v>66.141599999999997</v>
      </c>
      <c r="D99">
        <v>2.6</v>
      </c>
    </row>
    <row r="100" spans="1:4">
      <c r="A100">
        <v>6400.8</v>
      </c>
      <c r="B100">
        <v>9.6</v>
      </c>
      <c r="C100">
        <v>113.08080000000001</v>
      </c>
      <c r="D100">
        <v>3.6</v>
      </c>
    </row>
    <row r="101" spans="1:4">
      <c r="A101">
        <v>7315.2</v>
      </c>
      <c r="B101">
        <v>12.2</v>
      </c>
      <c r="C101">
        <v>186.8424</v>
      </c>
      <c r="D101">
        <v>4.8</v>
      </c>
    </row>
    <row r="102" spans="1:4">
      <c r="A102">
        <v>8229.6</v>
      </c>
      <c r="B102">
        <v>15.2</v>
      </c>
      <c r="C102">
        <v>294.13200000000001</v>
      </c>
      <c r="D102">
        <v>6.3</v>
      </c>
    </row>
    <row r="103" spans="1:4">
      <c r="A103">
        <v>9144</v>
      </c>
      <c r="B103">
        <v>18.3</v>
      </c>
      <c r="C103">
        <v>439.82640000000004</v>
      </c>
      <c r="D103">
        <v>8</v>
      </c>
    </row>
    <row r="104" spans="1:4">
      <c r="A104">
        <v>10058.4</v>
      </c>
      <c r="B104">
        <v>21.5</v>
      </c>
      <c r="C104">
        <v>626.97360000000003</v>
      </c>
      <c r="D104">
        <v>10.1</v>
      </c>
    </row>
    <row r="105" spans="1:4">
      <c r="A105">
        <v>10972.8</v>
      </c>
      <c r="B105">
        <v>25</v>
      </c>
      <c r="C105">
        <v>860.14560000000006</v>
      </c>
      <c r="D105">
        <v>12.3</v>
      </c>
    </row>
    <row r="106" spans="1:4">
      <c r="A106">
        <v>11887.199999999999</v>
      </c>
      <c r="B106">
        <v>28.8</v>
      </c>
      <c r="C106">
        <v>1146.9624000000001</v>
      </c>
      <c r="D106">
        <v>14.9</v>
      </c>
    </row>
    <row r="107" spans="1:4">
      <c r="A107">
        <v>12801.6</v>
      </c>
      <c r="B107">
        <v>32.799999999999997</v>
      </c>
      <c r="C107">
        <v>1496.2632000000001</v>
      </c>
      <c r="D107">
        <v>17.8</v>
      </c>
    </row>
    <row r="108" spans="1:4">
      <c r="A108">
        <v>13716</v>
      </c>
      <c r="B108">
        <v>37.200000000000003</v>
      </c>
      <c r="C108">
        <v>1924.5072</v>
      </c>
      <c r="D108">
        <v>21</v>
      </c>
    </row>
    <row r="109" spans="1:4">
      <c r="A109">
        <v>14630.4</v>
      </c>
      <c r="B109">
        <v>42.2</v>
      </c>
      <c r="C109">
        <v>2458.8216000000002</v>
      </c>
      <c r="D109">
        <v>24.8</v>
      </c>
    </row>
    <row r="110" spans="1:4">
      <c r="A110">
        <v>15544.8</v>
      </c>
      <c r="B110">
        <v>48</v>
      </c>
      <c r="C110">
        <v>3162.9096</v>
      </c>
      <c r="D110">
        <v>29.4</v>
      </c>
    </row>
    <row r="111" spans="1:4">
      <c r="B111">
        <v>55.8</v>
      </c>
      <c r="C111">
        <v>4212.9456</v>
      </c>
      <c r="D111">
        <v>35.9</v>
      </c>
    </row>
    <row r="116" spans="2:7">
      <c r="F116" t="s">
        <v>16</v>
      </c>
      <c r="G116" t="s">
        <v>11</v>
      </c>
    </row>
    <row r="117" spans="2:7">
      <c r="D117" t="s">
        <v>49</v>
      </c>
      <c r="E117" t="s">
        <v>50</v>
      </c>
      <c r="F117" t="s">
        <v>51</v>
      </c>
      <c r="G117" t="s">
        <v>52</v>
      </c>
    </row>
    <row r="118" spans="2:7">
      <c r="B118" t="s">
        <v>48</v>
      </c>
      <c r="C118" t="s">
        <v>20</v>
      </c>
    </row>
    <row r="119" spans="2:7">
      <c r="B119" t="s">
        <v>30</v>
      </c>
      <c r="C119" t="s">
        <v>23</v>
      </c>
      <c r="F119" s="6">
        <v>868.67288859999996</v>
      </c>
    </row>
    <row r="120" spans="2:7">
      <c r="B120">
        <v>0</v>
      </c>
      <c r="C120">
        <v>0</v>
      </c>
      <c r="D120">
        <f>B121-B120</f>
        <v>1.1000000000000001</v>
      </c>
      <c r="E120">
        <f>C121-C120</f>
        <v>914.4</v>
      </c>
      <c r="F120">
        <f t="shared" ref="F120:F136" si="6">E120/D120</f>
        <v>831.27272727272714</v>
      </c>
    </row>
    <row r="121" spans="2:7">
      <c r="B121">
        <v>1.1000000000000001</v>
      </c>
      <c r="C121">
        <v>914.4</v>
      </c>
      <c r="D121">
        <f>B122-B121</f>
        <v>1.1999999999999997</v>
      </c>
      <c r="E121">
        <f>C122-C121</f>
        <v>914.4</v>
      </c>
      <c r="F121">
        <f t="shared" si="6"/>
        <v>762.00000000000011</v>
      </c>
      <c r="G121">
        <f t="shared" ref="G121:G136" si="7">F121-F120</f>
        <v>-69.272727272727025</v>
      </c>
    </row>
    <row r="122" spans="2:7">
      <c r="B122">
        <v>2.2999999999999998</v>
      </c>
      <c r="C122">
        <v>1828.8</v>
      </c>
      <c r="D122">
        <f t="shared" ref="D122:D136" si="8">B123-B122</f>
        <v>1.4000000000000004</v>
      </c>
      <c r="E122">
        <f t="shared" ref="E122:E136" si="9">C123-C122</f>
        <v>914.39999999999986</v>
      </c>
      <c r="F122">
        <f t="shared" si="6"/>
        <v>653.14285714285688</v>
      </c>
      <c r="G122">
        <f t="shared" si="7"/>
        <v>-108.85714285714323</v>
      </c>
    </row>
    <row r="123" spans="2:7">
      <c r="B123">
        <v>3.7</v>
      </c>
      <c r="C123">
        <v>2743.2</v>
      </c>
      <c r="D123">
        <f t="shared" si="8"/>
        <v>1.7000000000000002</v>
      </c>
      <c r="E123">
        <f t="shared" si="9"/>
        <v>944.40000000000009</v>
      </c>
      <c r="F123">
        <f t="shared" si="6"/>
        <v>555.52941176470586</v>
      </c>
      <c r="G123">
        <f t="shared" si="7"/>
        <v>-97.613445378151027</v>
      </c>
    </row>
    <row r="124" spans="2:7">
      <c r="B124">
        <v>5.4</v>
      </c>
      <c r="C124">
        <v>3687.6</v>
      </c>
      <c r="D124">
        <f t="shared" si="8"/>
        <v>1.8999999999999995</v>
      </c>
      <c r="E124">
        <f t="shared" si="9"/>
        <v>884.40000000000009</v>
      </c>
      <c r="F124">
        <f t="shared" si="6"/>
        <v>465.47368421052647</v>
      </c>
      <c r="G124">
        <f t="shared" si="7"/>
        <v>-90.055727554179384</v>
      </c>
    </row>
    <row r="125" spans="2:7">
      <c r="B125">
        <v>7.3</v>
      </c>
      <c r="C125">
        <v>4572</v>
      </c>
      <c r="D125">
        <f t="shared" si="8"/>
        <v>2.2999999999999998</v>
      </c>
      <c r="E125">
        <f t="shared" si="9"/>
        <v>914.39999999999964</v>
      </c>
      <c r="F125">
        <f t="shared" si="6"/>
        <v>397.5652173913042</v>
      </c>
      <c r="G125">
        <f t="shared" si="7"/>
        <v>-67.908466819222269</v>
      </c>
    </row>
    <row r="126" spans="2:7">
      <c r="B126">
        <v>9.6</v>
      </c>
      <c r="C126">
        <v>5486.4</v>
      </c>
      <c r="D126">
        <f t="shared" si="8"/>
        <v>2.5999999999999996</v>
      </c>
      <c r="E126">
        <f t="shared" si="9"/>
        <v>914.40000000000055</v>
      </c>
      <c r="F126">
        <f t="shared" si="6"/>
        <v>351.69230769230796</v>
      </c>
      <c r="G126">
        <f t="shared" si="7"/>
        <v>-45.872909698996239</v>
      </c>
    </row>
    <row r="127" spans="2:7">
      <c r="B127">
        <v>12.2</v>
      </c>
      <c r="C127">
        <v>6400.8</v>
      </c>
      <c r="D127">
        <f t="shared" si="8"/>
        <v>3</v>
      </c>
      <c r="E127">
        <f t="shared" si="9"/>
        <v>914.39999999999964</v>
      </c>
      <c r="F127">
        <f t="shared" si="6"/>
        <v>304.7999999999999</v>
      </c>
      <c r="G127">
        <f t="shared" si="7"/>
        <v>-46.892307692308066</v>
      </c>
    </row>
    <row r="128" spans="2:7">
      <c r="B128">
        <v>15.2</v>
      </c>
      <c r="C128">
        <v>7315.2</v>
      </c>
      <c r="D128">
        <f t="shared" si="8"/>
        <v>3.1000000000000014</v>
      </c>
      <c r="E128">
        <f t="shared" si="9"/>
        <v>924.40000000000055</v>
      </c>
      <c r="F128">
        <f t="shared" si="6"/>
        <v>298.19354838709683</v>
      </c>
      <c r="G128">
        <f t="shared" si="7"/>
        <v>-6.6064516129030721</v>
      </c>
    </row>
    <row r="129" spans="2:7">
      <c r="B129">
        <v>18.3</v>
      </c>
      <c r="C129">
        <v>8239.6</v>
      </c>
      <c r="D129">
        <f t="shared" si="8"/>
        <v>3.1999999999999993</v>
      </c>
      <c r="E129">
        <f t="shared" si="9"/>
        <v>904.39999999999964</v>
      </c>
      <c r="F129">
        <f t="shared" si="6"/>
        <v>282.62499999999994</v>
      </c>
      <c r="G129">
        <f t="shared" si="7"/>
        <v>-15.568548387096882</v>
      </c>
    </row>
    <row r="130" spans="2:7">
      <c r="B130">
        <v>21.5</v>
      </c>
      <c r="C130">
        <v>9144</v>
      </c>
      <c r="D130">
        <f t="shared" si="8"/>
        <v>3.5</v>
      </c>
      <c r="E130">
        <f t="shared" si="9"/>
        <v>914.39999999999964</v>
      </c>
      <c r="F130">
        <f t="shared" si="6"/>
        <v>261.25714285714275</v>
      </c>
      <c r="G130">
        <f t="shared" si="7"/>
        <v>-21.36785714285719</v>
      </c>
    </row>
    <row r="131" spans="2:7">
      <c r="B131">
        <v>25</v>
      </c>
      <c r="C131">
        <v>10058.4</v>
      </c>
      <c r="D131">
        <f t="shared" si="8"/>
        <v>3.8000000000000007</v>
      </c>
      <c r="E131">
        <f t="shared" si="9"/>
        <v>914.39999999999964</v>
      </c>
      <c r="F131">
        <f t="shared" si="6"/>
        <v>240.63157894736827</v>
      </c>
      <c r="G131">
        <f t="shared" si="7"/>
        <v>-20.625563909774485</v>
      </c>
    </row>
    <row r="132" spans="2:7">
      <c r="B132">
        <v>28.8</v>
      </c>
      <c r="C132">
        <v>10972.8</v>
      </c>
      <c r="D132">
        <f t="shared" si="8"/>
        <v>3.9999999999999964</v>
      </c>
      <c r="E132">
        <f t="shared" si="9"/>
        <v>914.39999999999964</v>
      </c>
      <c r="F132">
        <f t="shared" si="6"/>
        <v>228.60000000000011</v>
      </c>
      <c r="G132">
        <f t="shared" si="7"/>
        <v>-12.03157894736816</v>
      </c>
    </row>
    <row r="133" spans="2:7">
      <c r="B133">
        <v>32.799999999999997</v>
      </c>
      <c r="C133">
        <v>11887.199999999999</v>
      </c>
      <c r="D133">
        <f t="shared" si="8"/>
        <v>4.4000000000000057</v>
      </c>
      <c r="E133">
        <f t="shared" si="9"/>
        <v>914.40000000000146</v>
      </c>
      <c r="F133">
        <f t="shared" si="6"/>
        <v>207.81818181818187</v>
      </c>
      <c r="G133">
        <f t="shared" si="7"/>
        <v>-20.781818181818238</v>
      </c>
    </row>
    <row r="134" spans="2:7">
      <c r="B134">
        <v>37.200000000000003</v>
      </c>
      <c r="C134">
        <v>12801.6</v>
      </c>
      <c r="D134">
        <f t="shared" si="8"/>
        <v>5</v>
      </c>
      <c r="E134">
        <f t="shared" si="9"/>
        <v>914.39999999999964</v>
      </c>
      <c r="F134">
        <f t="shared" si="6"/>
        <v>182.87999999999994</v>
      </c>
      <c r="G134">
        <f t="shared" si="7"/>
        <v>-24.938181818181931</v>
      </c>
    </row>
    <row r="135" spans="2:7">
      <c r="B135">
        <v>42.2</v>
      </c>
      <c r="C135">
        <v>13716</v>
      </c>
      <c r="D135">
        <f t="shared" si="8"/>
        <v>5.7999999999999972</v>
      </c>
      <c r="E135">
        <f t="shared" si="9"/>
        <v>914.39999999999964</v>
      </c>
      <c r="F135">
        <f t="shared" si="6"/>
        <v>157.65517241379311</v>
      </c>
      <c r="G135">
        <f t="shared" si="7"/>
        <v>-25.224827586206828</v>
      </c>
    </row>
    <row r="136" spans="2:7">
      <c r="B136">
        <v>48</v>
      </c>
      <c r="C136">
        <v>14630.4</v>
      </c>
      <c r="D136">
        <f t="shared" si="8"/>
        <v>7.7999999999999972</v>
      </c>
      <c r="E136">
        <f t="shared" si="9"/>
        <v>914.39999999999964</v>
      </c>
      <c r="F136">
        <f t="shared" si="6"/>
        <v>117.23076923076923</v>
      </c>
      <c r="G136">
        <f t="shared" si="7"/>
        <v>-40.424403183023884</v>
      </c>
    </row>
    <row r="137" spans="2:7">
      <c r="B137">
        <v>55.8</v>
      </c>
      <c r="C137">
        <v>15544.8</v>
      </c>
    </row>
    <row r="144" spans="2:7">
      <c r="E144">
        <v>1</v>
      </c>
      <c r="F144">
        <v>1</v>
      </c>
    </row>
    <row r="145" spans="5:6">
      <c r="E145">
        <v>10</v>
      </c>
      <c r="F145">
        <v>180</v>
      </c>
    </row>
    <row r="146" spans="5:6">
      <c r="E146">
        <v>40</v>
      </c>
      <c r="F146">
        <v>600</v>
      </c>
    </row>
    <row r="147" spans="5:6">
      <c r="E147">
        <v>90</v>
      </c>
      <c r="F147">
        <v>1000</v>
      </c>
    </row>
  </sheetData>
  <sortState ref="F145:F147">
    <sortCondition ref="F144:F146"/>
  </sortState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2:G130"/>
  <sheetViews>
    <sheetView tabSelected="1" topLeftCell="C22" workbookViewId="0">
      <selection activeCell="O23" sqref="O23"/>
    </sheetView>
  </sheetViews>
  <sheetFormatPr defaultRowHeight="15"/>
  <cols>
    <col min="3" max="3" width="9" customWidth="1"/>
    <col min="4" max="4" width="13.42578125" customWidth="1"/>
  </cols>
  <sheetData>
    <row r="2" spans="3:5">
      <c r="C2">
        <v>1828.8</v>
      </c>
    </row>
    <row r="3" spans="3:5">
      <c r="C3" t="s">
        <v>24</v>
      </c>
      <c r="D3" t="s">
        <v>8</v>
      </c>
      <c r="E3" t="s">
        <v>22</v>
      </c>
    </row>
    <row r="4" spans="3:5">
      <c r="C4" s="4">
        <v>6.6</v>
      </c>
      <c r="D4">
        <f>C4*$C$2</f>
        <v>12070.08</v>
      </c>
      <c r="E4">
        <v>67.8</v>
      </c>
    </row>
    <row r="5" spans="3:5">
      <c r="C5" s="4">
        <v>6.7</v>
      </c>
      <c r="D5">
        <f t="shared" ref="D5:D24" si="0">C5*$C$2</f>
        <v>12252.96</v>
      </c>
      <c r="E5">
        <v>67.2</v>
      </c>
    </row>
    <row r="6" spans="3:5">
      <c r="C6" s="4">
        <v>6.8</v>
      </c>
      <c r="D6">
        <f t="shared" si="0"/>
        <v>12435.84</v>
      </c>
      <c r="E6">
        <v>66.7</v>
      </c>
    </row>
    <row r="7" spans="3:5">
      <c r="C7" s="4">
        <v>6.9</v>
      </c>
      <c r="D7">
        <f t="shared" si="0"/>
        <v>12618.720000000001</v>
      </c>
      <c r="E7">
        <v>66.2</v>
      </c>
    </row>
    <row r="8" spans="3:5">
      <c r="C8" s="4">
        <v>7</v>
      </c>
      <c r="D8">
        <f t="shared" si="0"/>
        <v>12801.6</v>
      </c>
      <c r="E8">
        <v>65.7</v>
      </c>
    </row>
    <row r="9" spans="3:5">
      <c r="C9" s="4">
        <v>7.1</v>
      </c>
      <c r="D9">
        <f t="shared" si="0"/>
        <v>12984.48</v>
      </c>
      <c r="E9">
        <v>65.2</v>
      </c>
    </row>
    <row r="10" spans="3:5">
      <c r="C10" s="4">
        <v>7.2</v>
      </c>
      <c r="D10">
        <f t="shared" si="0"/>
        <v>13167.36</v>
      </c>
      <c r="E10">
        <v>64.599999999999994</v>
      </c>
    </row>
    <row r="11" spans="3:5">
      <c r="C11" s="4">
        <v>7.3</v>
      </c>
      <c r="D11">
        <f t="shared" si="0"/>
        <v>13350.24</v>
      </c>
      <c r="E11">
        <v>64.099999999999994</v>
      </c>
    </row>
    <row r="12" spans="3:5">
      <c r="C12" s="4">
        <v>7.4</v>
      </c>
      <c r="D12">
        <f t="shared" si="0"/>
        <v>13533.12</v>
      </c>
      <c r="E12">
        <v>63.5</v>
      </c>
    </row>
    <row r="13" spans="3:5">
      <c r="C13" s="4">
        <v>7.5</v>
      </c>
      <c r="D13">
        <f t="shared" si="0"/>
        <v>13716</v>
      </c>
      <c r="E13">
        <v>62.9</v>
      </c>
    </row>
    <row r="14" spans="3:5">
      <c r="C14" s="4">
        <v>7.6</v>
      </c>
      <c r="D14">
        <f t="shared" si="0"/>
        <v>13898.88</v>
      </c>
      <c r="E14">
        <v>62.3</v>
      </c>
    </row>
    <row r="15" spans="3:5">
      <c r="C15" s="4">
        <v>7.7</v>
      </c>
      <c r="D15">
        <f t="shared" si="0"/>
        <v>14081.76</v>
      </c>
      <c r="E15">
        <v>61.7</v>
      </c>
    </row>
    <row r="16" spans="3:5">
      <c r="C16" s="4">
        <v>7.8</v>
      </c>
      <c r="D16">
        <f t="shared" si="0"/>
        <v>14264.64</v>
      </c>
      <c r="E16">
        <v>61</v>
      </c>
    </row>
    <row r="17" spans="3:5">
      <c r="C17" s="4">
        <v>7.9</v>
      </c>
      <c r="D17">
        <f t="shared" si="0"/>
        <v>14447.52</v>
      </c>
      <c r="E17">
        <v>60.3</v>
      </c>
    </row>
    <row r="18" spans="3:5">
      <c r="C18" s="4">
        <v>8</v>
      </c>
      <c r="D18">
        <f t="shared" si="0"/>
        <v>14630.4</v>
      </c>
      <c r="E18">
        <v>59.6</v>
      </c>
    </row>
    <row r="19" spans="3:5">
      <c r="C19" s="4">
        <v>8.1</v>
      </c>
      <c r="D19">
        <f t="shared" si="0"/>
        <v>14813.279999999999</v>
      </c>
      <c r="E19">
        <v>58.8</v>
      </c>
    </row>
    <row r="20" spans="3:5">
      <c r="C20" s="4">
        <v>8.1999999999999993</v>
      </c>
      <c r="D20">
        <f t="shared" si="0"/>
        <v>14996.159999999998</v>
      </c>
      <c r="E20">
        <v>58.1</v>
      </c>
    </row>
    <row r="21" spans="3:5">
      <c r="C21" s="4">
        <v>8.3000000000000007</v>
      </c>
      <c r="D21">
        <f t="shared" si="0"/>
        <v>15179.04</v>
      </c>
      <c r="E21">
        <v>57.2</v>
      </c>
    </row>
    <row r="22" spans="3:5">
      <c r="C22" s="4">
        <v>8.4</v>
      </c>
      <c r="D22">
        <f t="shared" si="0"/>
        <v>15361.92</v>
      </c>
      <c r="E22">
        <v>56.2</v>
      </c>
    </row>
    <row r="23" spans="3:5">
      <c r="C23" s="4">
        <v>8.5</v>
      </c>
      <c r="D23">
        <f t="shared" si="0"/>
        <v>15544.8</v>
      </c>
      <c r="E23">
        <v>55.2</v>
      </c>
    </row>
    <row r="24" spans="3:5">
      <c r="C24" s="4">
        <v>8.6</v>
      </c>
      <c r="D24">
        <f t="shared" si="0"/>
        <v>15727.679999999998</v>
      </c>
      <c r="E24">
        <v>54</v>
      </c>
    </row>
    <row r="26" spans="3:5">
      <c r="D26" t="s">
        <v>70</v>
      </c>
      <c r="E26" t="s">
        <v>69</v>
      </c>
    </row>
    <row r="27" spans="3:5">
      <c r="D27">
        <v>12070.08</v>
      </c>
      <c r="E27">
        <v>87.7</v>
      </c>
    </row>
    <row r="28" spans="3:5">
      <c r="D28">
        <v>12252.96</v>
      </c>
      <c r="E28">
        <v>87.4</v>
      </c>
    </row>
    <row r="29" spans="3:5">
      <c r="D29">
        <v>12435.84</v>
      </c>
      <c r="E29">
        <v>87.1</v>
      </c>
    </row>
    <row r="30" spans="3:5">
      <c r="D30">
        <v>12618.720000000001</v>
      </c>
      <c r="E30">
        <v>86.7</v>
      </c>
    </row>
    <row r="31" spans="3:5">
      <c r="D31">
        <v>12801.6</v>
      </c>
      <c r="E31">
        <v>86.3</v>
      </c>
    </row>
    <row r="32" spans="3:5">
      <c r="D32">
        <v>12984.48</v>
      </c>
      <c r="E32">
        <v>85.9</v>
      </c>
    </row>
    <row r="33" spans="4:5">
      <c r="D33">
        <v>13167.36</v>
      </c>
      <c r="E33">
        <v>85.5</v>
      </c>
    </row>
    <row r="34" spans="4:5">
      <c r="D34">
        <v>13350.24</v>
      </c>
      <c r="E34">
        <v>85.1</v>
      </c>
    </row>
    <row r="35" spans="4:5">
      <c r="D35">
        <v>13533.12</v>
      </c>
      <c r="E35">
        <v>84.6</v>
      </c>
    </row>
    <row r="36" spans="4:5">
      <c r="D36">
        <v>13716</v>
      </c>
      <c r="E36">
        <v>84.2</v>
      </c>
    </row>
    <row r="37" spans="4:5">
      <c r="D37">
        <v>13898.88</v>
      </c>
      <c r="E37">
        <v>83.7</v>
      </c>
    </row>
    <row r="38" spans="4:5">
      <c r="D38">
        <v>14081.76</v>
      </c>
      <c r="E38">
        <v>83.1</v>
      </c>
    </row>
    <row r="39" spans="4:5">
      <c r="D39">
        <v>14264.64</v>
      </c>
      <c r="E39">
        <v>82.6</v>
      </c>
    </row>
    <row r="40" spans="4:5">
      <c r="D40">
        <v>14447.52</v>
      </c>
      <c r="E40">
        <v>82</v>
      </c>
    </row>
    <row r="41" spans="4:5">
      <c r="D41">
        <v>14630.4</v>
      </c>
      <c r="E41">
        <v>81.400000000000006</v>
      </c>
    </row>
    <row r="42" spans="4:5">
      <c r="D42">
        <v>14813.279999999999</v>
      </c>
      <c r="E42">
        <v>80.7</v>
      </c>
    </row>
    <row r="43" spans="4:5">
      <c r="D43">
        <v>14996.159999999998</v>
      </c>
      <c r="E43">
        <v>80.099999999999994</v>
      </c>
    </row>
    <row r="44" spans="4:5">
      <c r="D44">
        <v>15179.04</v>
      </c>
      <c r="E44">
        <v>79.2</v>
      </c>
    </row>
    <row r="45" spans="4:5">
      <c r="D45">
        <v>15361.92</v>
      </c>
      <c r="E45">
        <v>78.400000000000006</v>
      </c>
    </row>
    <row r="46" spans="4:5">
      <c r="D46">
        <v>15544.8</v>
      </c>
      <c r="E46">
        <v>77.400000000000006</v>
      </c>
    </row>
    <row r="47" spans="4:5">
      <c r="D47">
        <v>15727.679999999998</v>
      </c>
      <c r="E47">
        <v>76.2</v>
      </c>
    </row>
    <row r="50" spans="4:6">
      <c r="D50" t="s">
        <v>79</v>
      </c>
    </row>
    <row r="51" spans="4:6">
      <c r="D51" t="s">
        <v>70</v>
      </c>
      <c r="E51" t="s">
        <v>69</v>
      </c>
    </row>
    <row r="52" spans="4:6">
      <c r="D52">
        <v>12070.08</v>
      </c>
      <c r="E52" s="1">
        <v>76.2</v>
      </c>
      <c r="F52">
        <v>67.8</v>
      </c>
    </row>
    <row r="53" spans="4:6">
      <c r="D53">
        <v>12252.96</v>
      </c>
      <c r="E53" s="1">
        <v>77.400000000000006</v>
      </c>
      <c r="F53">
        <v>67.2</v>
      </c>
    </row>
    <row r="54" spans="4:6">
      <c r="D54">
        <v>12435.84</v>
      </c>
      <c r="E54" s="1">
        <v>78.400000000000006</v>
      </c>
      <c r="F54">
        <v>66.7</v>
      </c>
    </row>
    <row r="55" spans="4:6">
      <c r="D55">
        <v>12618.720000000001</v>
      </c>
      <c r="E55" s="1">
        <v>79.2</v>
      </c>
      <c r="F55">
        <v>66.2</v>
      </c>
    </row>
    <row r="56" spans="4:6">
      <c r="D56">
        <v>12801.6</v>
      </c>
      <c r="E56" s="1">
        <v>80.099999999999994</v>
      </c>
      <c r="F56">
        <v>65.7</v>
      </c>
    </row>
    <row r="57" spans="4:6">
      <c r="D57">
        <v>12984.48</v>
      </c>
      <c r="E57" s="1">
        <v>80.7</v>
      </c>
      <c r="F57">
        <v>65.2</v>
      </c>
    </row>
    <row r="58" spans="4:6">
      <c r="D58">
        <v>13167.36</v>
      </c>
      <c r="E58" s="1">
        <v>81.400000000000006</v>
      </c>
      <c r="F58">
        <v>64.599999999999994</v>
      </c>
    </row>
    <row r="59" spans="4:6">
      <c r="D59">
        <v>13350.24</v>
      </c>
      <c r="E59" s="1">
        <v>82</v>
      </c>
      <c r="F59">
        <v>64.099999999999994</v>
      </c>
    </row>
    <row r="60" spans="4:6">
      <c r="D60">
        <v>13533.12</v>
      </c>
      <c r="E60" s="1">
        <v>82.6</v>
      </c>
      <c r="F60">
        <v>63.5</v>
      </c>
    </row>
    <row r="61" spans="4:6">
      <c r="D61">
        <v>13716</v>
      </c>
      <c r="E61" s="1">
        <v>83.1</v>
      </c>
      <c r="F61">
        <v>62.9</v>
      </c>
    </row>
    <row r="62" spans="4:6">
      <c r="D62">
        <v>13898.88</v>
      </c>
      <c r="E62" s="1">
        <v>83.7</v>
      </c>
      <c r="F62">
        <v>62.3</v>
      </c>
    </row>
    <row r="63" spans="4:6">
      <c r="D63">
        <v>14081.76</v>
      </c>
      <c r="E63" s="1">
        <v>84.2</v>
      </c>
      <c r="F63">
        <v>61.7</v>
      </c>
    </row>
    <row r="64" spans="4:6">
      <c r="D64">
        <v>14264.64</v>
      </c>
      <c r="E64" s="1">
        <v>84.6</v>
      </c>
      <c r="F64">
        <v>61</v>
      </c>
    </row>
    <row r="65" spans="1:7">
      <c r="D65">
        <v>14447.52</v>
      </c>
      <c r="E65" s="1">
        <v>85.1</v>
      </c>
      <c r="F65">
        <v>60.3</v>
      </c>
    </row>
    <row r="66" spans="1:7">
      <c r="D66">
        <v>14630.4</v>
      </c>
      <c r="E66" s="1">
        <v>85.5</v>
      </c>
      <c r="F66">
        <v>59.6</v>
      </c>
    </row>
    <row r="67" spans="1:7">
      <c r="D67">
        <v>14813.279999999999</v>
      </c>
      <c r="E67" s="1">
        <v>85.9</v>
      </c>
      <c r="F67">
        <v>58.8</v>
      </c>
    </row>
    <row r="68" spans="1:7">
      <c r="D68">
        <v>14996.159999999998</v>
      </c>
      <c r="E68" s="1">
        <v>86.3</v>
      </c>
      <c r="F68">
        <v>58.1</v>
      </c>
    </row>
    <row r="69" spans="1:7">
      <c r="D69">
        <v>15179.04</v>
      </c>
      <c r="E69" s="1">
        <v>86.7</v>
      </c>
      <c r="F69">
        <v>57.2</v>
      </c>
    </row>
    <row r="70" spans="1:7">
      <c r="D70">
        <v>15361.92</v>
      </c>
      <c r="E70" s="1">
        <v>87.1</v>
      </c>
      <c r="F70">
        <v>56.2</v>
      </c>
    </row>
    <row r="71" spans="1:7">
      <c r="D71">
        <v>15544.8</v>
      </c>
      <c r="E71" s="1">
        <v>87.4</v>
      </c>
      <c r="F71">
        <v>55.2</v>
      </c>
    </row>
    <row r="72" spans="1:7">
      <c r="D72">
        <v>15727.679999999998</v>
      </c>
      <c r="E72" s="1">
        <v>87.7</v>
      </c>
      <c r="F72">
        <v>54</v>
      </c>
    </row>
    <row r="78" spans="1:7">
      <c r="A78" t="s">
        <v>64</v>
      </c>
      <c r="D78" t="s">
        <v>56</v>
      </c>
      <c r="E78" t="s">
        <v>65</v>
      </c>
    </row>
    <row r="79" spans="1:7">
      <c r="A79">
        <v>24761</v>
      </c>
      <c r="B79">
        <v>15727.679999999998</v>
      </c>
      <c r="C79">
        <v>9734.7024000000001</v>
      </c>
      <c r="D79">
        <f t="shared" ref="D79:D99" si="1">0.001*B79</f>
        <v>15.727679999999999</v>
      </c>
      <c r="E79">
        <f t="shared" ref="E79:E99" si="2">0.001*C79</f>
        <v>9.7347023999999998</v>
      </c>
      <c r="F79">
        <v>54</v>
      </c>
      <c r="G79">
        <f t="shared" ref="G79:G99" si="3">SIN(RADIANS(F79)*2)</f>
        <v>0.95105651629515364</v>
      </c>
    </row>
    <row r="80" spans="1:7">
      <c r="A80">
        <v>25502</v>
      </c>
      <c r="B80">
        <v>15544.8</v>
      </c>
      <c r="C80">
        <v>9671.6088</v>
      </c>
      <c r="D80">
        <f t="shared" si="1"/>
        <v>15.5448</v>
      </c>
      <c r="E80">
        <f t="shared" si="2"/>
        <v>9.6716087999999996</v>
      </c>
      <c r="F80">
        <v>55.2</v>
      </c>
      <c r="G80">
        <f t="shared" si="3"/>
        <v>0.93728198949189145</v>
      </c>
    </row>
    <row r="81" spans="1:7">
      <c r="A81">
        <v>26094</v>
      </c>
      <c r="B81">
        <v>15361.92</v>
      </c>
      <c r="C81">
        <v>9608.82</v>
      </c>
      <c r="D81">
        <f t="shared" si="1"/>
        <v>15.36192</v>
      </c>
      <c r="E81">
        <f t="shared" si="2"/>
        <v>9.6088199999999997</v>
      </c>
      <c r="F81">
        <v>56.2</v>
      </c>
      <c r="G81">
        <f t="shared" si="3"/>
        <v>0.92454603361231313</v>
      </c>
    </row>
    <row r="82" spans="1:7">
      <c r="A82">
        <v>26639</v>
      </c>
      <c r="B82">
        <v>15179.04</v>
      </c>
      <c r="C82">
        <v>9540.5447999999997</v>
      </c>
      <c r="D82">
        <f t="shared" si="1"/>
        <v>15.179040000000001</v>
      </c>
      <c r="E82">
        <f t="shared" si="2"/>
        <v>9.5405447999999993</v>
      </c>
      <c r="F82">
        <v>57.2</v>
      </c>
      <c r="G82">
        <f t="shared" si="3"/>
        <v>0.91068366080617713</v>
      </c>
    </row>
    <row r="83" spans="1:7">
      <c r="A83">
        <v>27181</v>
      </c>
      <c r="B83">
        <v>14996.159999999998</v>
      </c>
      <c r="C83">
        <v>9469.8312000000005</v>
      </c>
      <c r="D83">
        <f t="shared" si="1"/>
        <v>14.996159999999998</v>
      </c>
      <c r="E83">
        <f t="shared" si="2"/>
        <v>9.4698312000000016</v>
      </c>
      <c r="F83">
        <v>58.1</v>
      </c>
      <c r="G83">
        <f t="shared" si="3"/>
        <v>0.89725836967432848</v>
      </c>
    </row>
    <row r="84" spans="1:7">
      <c r="A84">
        <v>27602</v>
      </c>
      <c r="B84">
        <v>14813.279999999999</v>
      </c>
      <c r="C84">
        <v>9399.1175999999996</v>
      </c>
      <c r="D84">
        <f t="shared" si="1"/>
        <v>14.813279999999999</v>
      </c>
      <c r="E84">
        <f t="shared" si="2"/>
        <v>9.3991176000000003</v>
      </c>
      <c r="F84">
        <v>58.8</v>
      </c>
      <c r="G84">
        <f t="shared" si="3"/>
        <v>0.88620357923121484</v>
      </c>
    </row>
    <row r="85" spans="1:7">
      <c r="A85">
        <v>28023</v>
      </c>
      <c r="B85">
        <v>14630.4</v>
      </c>
      <c r="C85">
        <v>9320.1743999999999</v>
      </c>
      <c r="D85">
        <f t="shared" si="1"/>
        <v>14.6304</v>
      </c>
      <c r="E85">
        <f t="shared" si="2"/>
        <v>9.3201744000000009</v>
      </c>
      <c r="F85">
        <v>59.6</v>
      </c>
      <c r="G85">
        <f t="shared" si="3"/>
        <v>0.87292207726980953</v>
      </c>
    </row>
    <row r="86" spans="1:7">
      <c r="A86">
        <v>28424</v>
      </c>
      <c r="B86">
        <v>14447.52</v>
      </c>
      <c r="C86">
        <v>9240.0120000000006</v>
      </c>
      <c r="D86">
        <f t="shared" si="1"/>
        <v>14.447520000000001</v>
      </c>
      <c r="E86">
        <f t="shared" si="2"/>
        <v>9.2400120000000001</v>
      </c>
      <c r="F86">
        <v>60.3</v>
      </c>
      <c r="G86">
        <f t="shared" si="3"/>
        <v>0.86074202700394364</v>
      </c>
    </row>
    <row r="87" spans="1:7">
      <c r="A87">
        <v>28774</v>
      </c>
      <c r="B87">
        <v>14264.64</v>
      </c>
      <c r="C87">
        <v>9158.0208000000002</v>
      </c>
      <c r="D87">
        <f t="shared" si="1"/>
        <v>14.26464</v>
      </c>
      <c r="E87">
        <f t="shared" si="2"/>
        <v>9.158020800000001</v>
      </c>
      <c r="F87">
        <v>61</v>
      </c>
      <c r="G87">
        <f t="shared" si="3"/>
        <v>0.84804809615642607</v>
      </c>
    </row>
    <row r="88" spans="1:7">
      <c r="A88">
        <v>29124</v>
      </c>
      <c r="B88">
        <v>14081.76</v>
      </c>
      <c r="C88">
        <v>9066.5807999999997</v>
      </c>
      <c r="D88">
        <f t="shared" si="1"/>
        <v>14.081760000000001</v>
      </c>
      <c r="E88">
        <f t="shared" si="2"/>
        <v>9.0665808000000006</v>
      </c>
      <c r="F88">
        <v>61.7</v>
      </c>
      <c r="G88">
        <f t="shared" si="3"/>
        <v>0.83484786326340654</v>
      </c>
    </row>
    <row r="89" spans="1:7">
      <c r="A89">
        <v>29446</v>
      </c>
      <c r="B89">
        <v>13898.88</v>
      </c>
      <c r="C89">
        <v>8975.140800000001</v>
      </c>
      <c r="D89">
        <f t="shared" si="1"/>
        <v>13.89888</v>
      </c>
      <c r="E89">
        <f t="shared" si="2"/>
        <v>8.9751408000000019</v>
      </c>
      <c r="F89">
        <v>62.3</v>
      </c>
      <c r="G89">
        <f t="shared" si="3"/>
        <v>0.82313636853444205</v>
      </c>
    </row>
    <row r="90" spans="1:7">
      <c r="A90">
        <v>29746</v>
      </c>
      <c r="B90">
        <v>13716</v>
      </c>
      <c r="C90">
        <v>8876.9952000000012</v>
      </c>
      <c r="D90">
        <f t="shared" si="1"/>
        <v>13.716000000000001</v>
      </c>
      <c r="E90">
        <f t="shared" si="2"/>
        <v>8.8769952000000014</v>
      </c>
      <c r="F90">
        <v>62.9</v>
      </c>
      <c r="G90">
        <f t="shared" si="3"/>
        <v>0.81106381898932656</v>
      </c>
    </row>
    <row r="91" spans="1:7">
      <c r="A91">
        <v>30046</v>
      </c>
      <c r="B91">
        <v>13533.12</v>
      </c>
      <c r="C91">
        <v>8770.3152000000009</v>
      </c>
      <c r="D91">
        <f t="shared" si="1"/>
        <v>13.53312</v>
      </c>
      <c r="E91">
        <f t="shared" si="2"/>
        <v>8.7703152000000006</v>
      </c>
      <c r="F91">
        <v>63.5</v>
      </c>
      <c r="G91">
        <f t="shared" si="3"/>
        <v>0.79863551004729272</v>
      </c>
    </row>
    <row r="92" spans="1:7">
      <c r="A92">
        <v>30315</v>
      </c>
      <c r="B92">
        <v>13350.24</v>
      </c>
      <c r="C92">
        <v>8663.6352000000006</v>
      </c>
      <c r="D92">
        <f t="shared" si="1"/>
        <v>13.350239999999999</v>
      </c>
      <c r="E92">
        <f t="shared" si="2"/>
        <v>8.6636352000000016</v>
      </c>
      <c r="F92">
        <v>64.099999999999994</v>
      </c>
      <c r="G92">
        <f t="shared" si="3"/>
        <v>0.78585689317540208</v>
      </c>
    </row>
    <row r="93" spans="1:7">
      <c r="A93">
        <v>30578</v>
      </c>
      <c r="B93">
        <v>13167.36</v>
      </c>
      <c r="C93">
        <v>8541.4104000000007</v>
      </c>
      <c r="D93">
        <f t="shared" si="1"/>
        <v>13.16736</v>
      </c>
      <c r="E93">
        <f t="shared" si="2"/>
        <v>8.5414104000000002</v>
      </c>
      <c r="F93">
        <v>64.599999999999994</v>
      </c>
      <c r="G93">
        <f t="shared" si="3"/>
        <v>0.77494448870417987</v>
      </c>
    </row>
    <row r="94" spans="1:7">
      <c r="A94">
        <v>30837</v>
      </c>
      <c r="B94">
        <v>12984.48</v>
      </c>
      <c r="C94">
        <v>8413.0896000000012</v>
      </c>
      <c r="D94">
        <f t="shared" si="1"/>
        <v>12.98448</v>
      </c>
      <c r="E94">
        <f t="shared" si="2"/>
        <v>8.4130896000000011</v>
      </c>
      <c r="F94">
        <v>65.2</v>
      </c>
      <c r="G94">
        <f t="shared" si="3"/>
        <v>0.76153830753673668</v>
      </c>
    </row>
    <row r="95" spans="1:7">
      <c r="A95">
        <v>31069</v>
      </c>
      <c r="B95">
        <v>12801.6</v>
      </c>
      <c r="C95">
        <v>8284.7687999999998</v>
      </c>
      <c r="D95">
        <f t="shared" si="1"/>
        <v>12.801600000000001</v>
      </c>
      <c r="E95">
        <f t="shared" si="2"/>
        <v>8.2847688000000002</v>
      </c>
      <c r="F95">
        <v>65.7</v>
      </c>
      <c r="G95">
        <f t="shared" si="3"/>
        <v>0.75011106963045937</v>
      </c>
    </row>
    <row r="96" spans="1:7">
      <c r="A96">
        <v>31301</v>
      </c>
      <c r="B96">
        <v>12618.720000000001</v>
      </c>
      <c r="C96">
        <v>8119.5672000000004</v>
      </c>
      <c r="D96">
        <f t="shared" si="1"/>
        <v>12.618720000000001</v>
      </c>
      <c r="E96">
        <f t="shared" si="2"/>
        <v>8.1195672000000005</v>
      </c>
      <c r="F96">
        <v>66.2</v>
      </c>
      <c r="G96">
        <f t="shared" si="3"/>
        <v>0.7384553406258838</v>
      </c>
    </row>
    <row r="97" spans="1:7">
      <c r="A97">
        <v>31525</v>
      </c>
      <c r="B97">
        <v>12435.84</v>
      </c>
      <c r="C97">
        <v>7953.4512000000004</v>
      </c>
      <c r="D97">
        <f t="shared" si="1"/>
        <v>12.435840000000001</v>
      </c>
      <c r="E97">
        <f t="shared" si="2"/>
        <v>7.9534512000000008</v>
      </c>
      <c r="F97">
        <v>66.7</v>
      </c>
      <c r="G97">
        <f t="shared" si="3"/>
        <v>0.72657467097097594</v>
      </c>
    </row>
    <row r="98" spans="1:7">
      <c r="A98">
        <v>31731</v>
      </c>
      <c r="B98">
        <v>12252.96</v>
      </c>
      <c r="C98">
        <v>7773.0096000000003</v>
      </c>
      <c r="D98">
        <f t="shared" si="1"/>
        <v>12.25296</v>
      </c>
      <c r="E98">
        <f t="shared" si="2"/>
        <v>7.7730096000000009</v>
      </c>
      <c r="F98">
        <v>67.2</v>
      </c>
      <c r="G98">
        <f t="shared" si="3"/>
        <v>0.71447267963280325</v>
      </c>
    </row>
    <row r="99" spans="1:7">
      <c r="A99">
        <v>31938</v>
      </c>
      <c r="B99">
        <v>12070.08</v>
      </c>
      <c r="C99">
        <v>7547.1528000000008</v>
      </c>
      <c r="D99">
        <f t="shared" si="1"/>
        <v>12.070080000000001</v>
      </c>
      <c r="E99">
        <f t="shared" si="2"/>
        <v>7.547152800000001</v>
      </c>
      <c r="F99">
        <v>67.8</v>
      </c>
      <c r="G99">
        <f t="shared" si="3"/>
        <v>0.69966334051336565</v>
      </c>
    </row>
    <row r="105" spans="1:7">
      <c r="B105" t="s">
        <v>66</v>
      </c>
    </row>
    <row r="106" spans="1:7">
      <c r="B106">
        <v>1828.8</v>
      </c>
      <c r="C106">
        <v>0.30480000000000002</v>
      </c>
    </row>
    <row r="107" spans="1:7">
      <c r="B107" t="s">
        <v>24</v>
      </c>
      <c r="C107" t="s">
        <v>8</v>
      </c>
      <c r="D107" t="s">
        <v>22</v>
      </c>
      <c r="E107" t="s">
        <v>63</v>
      </c>
      <c r="F107" t="s">
        <v>61</v>
      </c>
      <c r="G107" t="s">
        <v>62</v>
      </c>
    </row>
    <row r="108" spans="1:7">
      <c r="B108" s="4">
        <v>8.6</v>
      </c>
      <c r="C108" s="13">
        <f t="shared" ref="C108:C128" si="4">B108*$B$106</f>
        <v>15727.679999999998</v>
      </c>
      <c r="D108" s="12">
        <v>54</v>
      </c>
      <c r="E108" s="12">
        <v>76.2</v>
      </c>
      <c r="F108" s="4">
        <v>24761</v>
      </c>
      <c r="G108" s="12">
        <f t="shared" ref="G108:G128" si="5">F108*$C$106</f>
        <v>7547.1528000000008</v>
      </c>
    </row>
    <row r="109" spans="1:7">
      <c r="B109" s="4">
        <v>8.5</v>
      </c>
      <c r="C109" s="13">
        <f t="shared" si="4"/>
        <v>15544.8</v>
      </c>
      <c r="D109" s="12">
        <v>55.2</v>
      </c>
      <c r="E109" s="12">
        <v>77.400000000000006</v>
      </c>
      <c r="F109" s="4">
        <v>25502</v>
      </c>
      <c r="G109" s="12">
        <f t="shared" si="5"/>
        <v>7773.0096000000003</v>
      </c>
    </row>
    <row r="110" spans="1:7">
      <c r="B110" s="4">
        <v>8.4</v>
      </c>
      <c r="C110" s="13">
        <f t="shared" si="4"/>
        <v>15361.92</v>
      </c>
      <c r="D110" s="12">
        <v>56.2</v>
      </c>
      <c r="E110" s="12">
        <v>78.400000000000006</v>
      </c>
      <c r="F110" s="4">
        <v>26094</v>
      </c>
      <c r="G110" s="12">
        <f t="shared" si="5"/>
        <v>7953.4512000000004</v>
      </c>
    </row>
    <row r="111" spans="1:7">
      <c r="B111" s="4">
        <v>8.3000000000000007</v>
      </c>
      <c r="C111" s="13">
        <f t="shared" si="4"/>
        <v>15179.04</v>
      </c>
      <c r="D111" s="12">
        <v>57.2</v>
      </c>
      <c r="E111" s="12">
        <v>79.2</v>
      </c>
      <c r="F111" s="4">
        <v>26639</v>
      </c>
      <c r="G111" s="12">
        <f t="shared" si="5"/>
        <v>8119.5672000000004</v>
      </c>
    </row>
    <row r="112" spans="1:7">
      <c r="B112" s="4">
        <v>8.1999999999999993</v>
      </c>
      <c r="C112" s="13">
        <f t="shared" si="4"/>
        <v>14996.159999999998</v>
      </c>
      <c r="D112" s="12">
        <v>58.1</v>
      </c>
      <c r="E112" s="12">
        <v>80.099999999999994</v>
      </c>
      <c r="F112" s="4">
        <v>27181</v>
      </c>
      <c r="G112" s="12">
        <f t="shared" si="5"/>
        <v>8284.7687999999998</v>
      </c>
    </row>
    <row r="113" spans="2:7">
      <c r="B113" s="4">
        <v>8.1</v>
      </c>
      <c r="C113" s="13">
        <f t="shared" si="4"/>
        <v>14813.279999999999</v>
      </c>
      <c r="D113" s="12">
        <v>58.8</v>
      </c>
      <c r="E113" s="12">
        <v>80.7</v>
      </c>
      <c r="F113" s="4">
        <v>27602</v>
      </c>
      <c r="G113" s="12">
        <f t="shared" si="5"/>
        <v>8413.0896000000012</v>
      </c>
    </row>
    <row r="114" spans="2:7">
      <c r="B114" s="4">
        <v>8</v>
      </c>
      <c r="C114" s="13">
        <f t="shared" si="4"/>
        <v>14630.4</v>
      </c>
      <c r="D114" s="12">
        <v>59.6</v>
      </c>
      <c r="E114" s="12">
        <v>81.400000000000006</v>
      </c>
      <c r="F114" s="4">
        <v>28023</v>
      </c>
      <c r="G114" s="12">
        <f t="shared" si="5"/>
        <v>8541.4104000000007</v>
      </c>
    </row>
    <row r="115" spans="2:7">
      <c r="B115" s="4">
        <v>7.9</v>
      </c>
      <c r="C115" s="13">
        <f t="shared" si="4"/>
        <v>14447.52</v>
      </c>
      <c r="D115" s="12">
        <v>60.3</v>
      </c>
      <c r="E115" s="12">
        <v>82</v>
      </c>
      <c r="F115" s="4">
        <v>28424</v>
      </c>
      <c r="G115" s="12">
        <f t="shared" si="5"/>
        <v>8663.6352000000006</v>
      </c>
    </row>
    <row r="116" spans="2:7">
      <c r="B116" s="4">
        <v>7.8</v>
      </c>
      <c r="C116" s="13">
        <f t="shared" si="4"/>
        <v>14264.64</v>
      </c>
      <c r="D116" s="12">
        <v>61</v>
      </c>
      <c r="E116" s="12">
        <v>82.6</v>
      </c>
      <c r="F116" s="4">
        <v>28774</v>
      </c>
      <c r="G116" s="12">
        <f t="shared" si="5"/>
        <v>8770.3152000000009</v>
      </c>
    </row>
    <row r="117" spans="2:7">
      <c r="B117" s="4">
        <v>7.7</v>
      </c>
      <c r="C117" s="13">
        <f t="shared" si="4"/>
        <v>14081.76</v>
      </c>
      <c r="D117" s="12">
        <v>61.7</v>
      </c>
      <c r="E117" s="12">
        <v>83.1</v>
      </c>
      <c r="F117" s="4">
        <v>29124</v>
      </c>
      <c r="G117" s="12">
        <f t="shared" si="5"/>
        <v>8876.9952000000012</v>
      </c>
    </row>
    <row r="118" spans="2:7">
      <c r="B118" s="4">
        <v>7.6</v>
      </c>
      <c r="C118" s="13">
        <f t="shared" si="4"/>
        <v>13898.88</v>
      </c>
      <c r="D118" s="12">
        <v>62.3</v>
      </c>
      <c r="E118" s="12">
        <v>83.7</v>
      </c>
      <c r="F118" s="4">
        <v>29446</v>
      </c>
      <c r="G118" s="12">
        <f t="shared" si="5"/>
        <v>8975.140800000001</v>
      </c>
    </row>
    <row r="119" spans="2:7">
      <c r="B119" s="4">
        <v>7.5</v>
      </c>
      <c r="C119" s="13">
        <f t="shared" si="4"/>
        <v>13716</v>
      </c>
      <c r="D119" s="12">
        <v>62.9</v>
      </c>
      <c r="E119" s="12">
        <v>84.2</v>
      </c>
      <c r="F119" s="4">
        <v>29746</v>
      </c>
      <c r="G119" s="12">
        <f t="shared" si="5"/>
        <v>9066.5807999999997</v>
      </c>
    </row>
    <row r="120" spans="2:7">
      <c r="B120" s="4">
        <v>7.4</v>
      </c>
      <c r="C120" s="13">
        <f t="shared" si="4"/>
        <v>13533.12</v>
      </c>
      <c r="D120" s="12">
        <v>63.5</v>
      </c>
      <c r="E120" s="12">
        <v>84.6</v>
      </c>
      <c r="F120" s="4">
        <v>30046</v>
      </c>
      <c r="G120" s="12">
        <f t="shared" si="5"/>
        <v>9158.0208000000002</v>
      </c>
    </row>
    <row r="121" spans="2:7">
      <c r="B121" s="4">
        <v>7.3</v>
      </c>
      <c r="C121" s="13">
        <f t="shared" si="4"/>
        <v>13350.24</v>
      </c>
      <c r="D121" s="12">
        <v>64.099999999999994</v>
      </c>
      <c r="E121" s="12">
        <v>85.1</v>
      </c>
      <c r="F121" s="4">
        <v>30315</v>
      </c>
      <c r="G121" s="12">
        <f t="shared" si="5"/>
        <v>9240.0120000000006</v>
      </c>
    </row>
    <row r="122" spans="2:7">
      <c r="B122" s="4">
        <v>7.2</v>
      </c>
      <c r="C122" s="13">
        <f t="shared" si="4"/>
        <v>13167.36</v>
      </c>
      <c r="D122" s="12">
        <v>64.599999999999994</v>
      </c>
      <c r="E122" s="12">
        <v>85.5</v>
      </c>
      <c r="F122" s="4">
        <v>30578</v>
      </c>
      <c r="G122" s="12">
        <f t="shared" si="5"/>
        <v>9320.1743999999999</v>
      </c>
    </row>
    <row r="123" spans="2:7">
      <c r="B123" s="4">
        <v>7.1</v>
      </c>
      <c r="C123" s="13">
        <f t="shared" si="4"/>
        <v>12984.48</v>
      </c>
      <c r="D123" s="12">
        <v>65.2</v>
      </c>
      <c r="E123" s="12">
        <v>85.9</v>
      </c>
      <c r="F123" s="4">
        <v>30837</v>
      </c>
      <c r="G123" s="12">
        <f t="shared" si="5"/>
        <v>9399.1175999999996</v>
      </c>
    </row>
    <row r="124" spans="2:7">
      <c r="B124" s="4">
        <v>7</v>
      </c>
      <c r="C124" s="13">
        <f t="shared" si="4"/>
        <v>12801.6</v>
      </c>
      <c r="D124" s="12">
        <v>65.7</v>
      </c>
      <c r="E124" s="12">
        <v>86.3</v>
      </c>
      <c r="F124" s="4">
        <v>31069</v>
      </c>
      <c r="G124" s="12">
        <f t="shared" si="5"/>
        <v>9469.8312000000005</v>
      </c>
    </row>
    <row r="125" spans="2:7">
      <c r="B125" s="4">
        <v>6.9</v>
      </c>
      <c r="C125" s="13">
        <f t="shared" si="4"/>
        <v>12618.720000000001</v>
      </c>
      <c r="D125" s="12">
        <v>66.2</v>
      </c>
      <c r="E125" s="12">
        <v>86.7</v>
      </c>
      <c r="F125" s="4">
        <v>31301</v>
      </c>
      <c r="G125" s="12">
        <f t="shared" si="5"/>
        <v>9540.5447999999997</v>
      </c>
    </row>
    <row r="126" spans="2:7">
      <c r="B126" s="4">
        <v>6.8</v>
      </c>
      <c r="C126" s="13">
        <f t="shared" si="4"/>
        <v>12435.84</v>
      </c>
      <c r="D126" s="12">
        <v>66.7</v>
      </c>
      <c r="E126" s="12">
        <v>87.1</v>
      </c>
      <c r="F126" s="4">
        <v>31525</v>
      </c>
      <c r="G126" s="12">
        <f t="shared" si="5"/>
        <v>9608.82</v>
      </c>
    </row>
    <row r="127" spans="2:7">
      <c r="B127" s="4">
        <v>6.7</v>
      </c>
      <c r="C127" s="13">
        <f t="shared" si="4"/>
        <v>12252.96</v>
      </c>
      <c r="D127" s="12">
        <v>67.2</v>
      </c>
      <c r="E127" s="12">
        <v>87.4</v>
      </c>
      <c r="F127" s="4">
        <v>31731</v>
      </c>
      <c r="G127" s="12">
        <f t="shared" si="5"/>
        <v>9671.6088</v>
      </c>
    </row>
    <row r="128" spans="2:7">
      <c r="B128" s="4">
        <v>6.6</v>
      </c>
      <c r="C128" s="13">
        <f t="shared" si="4"/>
        <v>12070.08</v>
      </c>
      <c r="D128" s="12">
        <v>67.8</v>
      </c>
      <c r="E128" s="12">
        <v>87.7</v>
      </c>
      <c r="F128" s="4">
        <v>31938</v>
      </c>
      <c r="G128" s="12">
        <f t="shared" si="5"/>
        <v>9734.7024000000001</v>
      </c>
    </row>
    <row r="129" spans="2:2">
      <c r="B129" s="4">
        <v>6.5</v>
      </c>
    </row>
    <row r="130" spans="2:2">
      <c r="B130" s="4">
        <v>6.4</v>
      </c>
    </row>
  </sheetData>
  <sortState ref="A79:G99">
    <sortCondition ref="F79:F99"/>
  </sortState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5:H49"/>
  <sheetViews>
    <sheetView topLeftCell="A4" workbookViewId="0">
      <selection activeCell="M26" sqref="M26"/>
    </sheetView>
  </sheetViews>
  <sheetFormatPr defaultRowHeight="15"/>
  <cols>
    <col min="6" max="6" width="11.42578125" customWidth="1"/>
    <col min="8" max="8" width="11.28515625" customWidth="1"/>
  </cols>
  <sheetData>
    <row r="5" spans="1:8">
      <c r="B5" t="s">
        <v>2</v>
      </c>
      <c r="C5" s="6">
        <v>868.67288859999996</v>
      </c>
      <c r="E5">
        <f>C5*C5</f>
        <v>754592.58738866798</v>
      </c>
    </row>
    <row r="9" spans="1:8">
      <c r="E9" t="s">
        <v>30</v>
      </c>
      <c r="H9" t="s">
        <v>23</v>
      </c>
    </row>
    <row r="10" spans="1:8">
      <c r="B10" t="s">
        <v>30</v>
      </c>
      <c r="C10" t="s">
        <v>23</v>
      </c>
      <c r="D10" t="s">
        <v>22</v>
      </c>
      <c r="E10" t="s">
        <v>71</v>
      </c>
      <c r="F10" t="s">
        <v>72</v>
      </c>
    </row>
    <row r="11" spans="1:8">
      <c r="A11" s="15" t="s">
        <v>68</v>
      </c>
      <c r="B11" s="16">
        <v>0</v>
      </c>
      <c r="C11" s="16">
        <v>0</v>
      </c>
      <c r="D11" s="10">
        <v>0</v>
      </c>
      <c r="E11">
        <f>COS(RADIANS(D11))</f>
        <v>1</v>
      </c>
      <c r="F11">
        <f>SIN(RADIANS(D11)*2)</f>
        <v>0</v>
      </c>
    </row>
    <row r="12" spans="1:8">
      <c r="B12" s="16">
        <v>1.1000000000000001</v>
      </c>
      <c r="C12" s="16">
        <v>914.4</v>
      </c>
      <c r="D12" s="10">
        <v>0.3</v>
      </c>
      <c r="E12">
        <f>COS(RADIANS(D12))</f>
        <v>0.99998629224742674</v>
      </c>
      <c r="F12">
        <f t="shared" ref="F12:F49" si="0">SIN(RADIANS(D12)*2)</f>
        <v>1.0471784116245792E-2</v>
      </c>
      <c r="H12">
        <f>(($C$5*$C$5)*F12)</f>
        <v>7901.9306708534677</v>
      </c>
    </row>
    <row r="13" spans="1:8">
      <c r="B13" s="16">
        <v>2.2999999999999998</v>
      </c>
      <c r="C13" s="16">
        <v>1828.8</v>
      </c>
      <c r="D13" s="10">
        <v>0.8</v>
      </c>
      <c r="E13">
        <f t="shared" ref="E13:E28" si="1">COS(RADIANS(D13))</f>
        <v>0.99990252400930424</v>
      </c>
      <c r="F13">
        <f t="shared" si="0"/>
        <v>2.7921638723568881E-2</v>
      </c>
      <c r="H13">
        <f>(($C$5*$C$5)*F13)/C13</f>
        <v>11.520921701962745</v>
      </c>
    </row>
    <row r="14" spans="1:8">
      <c r="B14" s="16">
        <v>3.7</v>
      </c>
      <c r="C14" s="16">
        <v>2743.2</v>
      </c>
      <c r="D14" s="10">
        <v>1.3</v>
      </c>
      <c r="E14">
        <f t="shared" si="1"/>
        <v>0.99974260932269832</v>
      </c>
      <c r="F14">
        <f t="shared" si="0"/>
        <v>4.5362988129253781E-2</v>
      </c>
      <c r="H14">
        <f>(($C$5*$C$5)*F14)/C14</f>
        <v>12.478337191650279</v>
      </c>
    </row>
    <row r="15" spans="1:8">
      <c r="B15" s="16">
        <v>5.4</v>
      </c>
      <c r="C15" s="16">
        <v>3657.6</v>
      </c>
      <c r="D15" s="10">
        <v>1.9</v>
      </c>
      <c r="E15">
        <f t="shared" si="1"/>
        <v>0.9994502159417572</v>
      </c>
      <c r="F15">
        <f t="shared" si="0"/>
        <v>6.6273900400000141E-2</v>
      </c>
      <c r="H15">
        <f>(($C$5*$C$5)*F15)/C15</f>
        <v>13.672843935688698</v>
      </c>
    </row>
    <row r="16" spans="1:8">
      <c r="B16" s="16">
        <v>7.3</v>
      </c>
      <c r="C16" s="16">
        <v>4572</v>
      </c>
      <c r="D16" s="10">
        <v>2.6</v>
      </c>
      <c r="E16">
        <f t="shared" si="1"/>
        <v>0.99897056979071475</v>
      </c>
      <c r="F16">
        <f t="shared" si="0"/>
        <v>9.0632580197780158E-2</v>
      </c>
      <c r="H16">
        <f>(($C$5*$C$5)*F16)/C16</f>
        <v>14.958589937260253</v>
      </c>
    </row>
    <row r="17" spans="1:8">
      <c r="B17" s="16">
        <v>9.6</v>
      </c>
      <c r="C17" s="16">
        <v>5486.4</v>
      </c>
      <c r="D17" s="10">
        <v>3.6</v>
      </c>
      <c r="E17">
        <f t="shared" si="1"/>
        <v>0.99802672842827156</v>
      </c>
      <c r="F17">
        <f t="shared" si="0"/>
        <v>0.12533323356430426</v>
      </c>
      <c r="H17">
        <f>(($C$5*$C$5)*F17)/C17</f>
        <v>17.238176035483484</v>
      </c>
    </row>
    <row r="18" spans="1:8">
      <c r="B18" s="16">
        <v>12.2</v>
      </c>
      <c r="C18" s="16">
        <v>6400.8</v>
      </c>
      <c r="D18" s="10">
        <v>4.8</v>
      </c>
      <c r="E18">
        <f t="shared" si="1"/>
        <v>0.99649285924950437</v>
      </c>
      <c r="F18">
        <f t="shared" si="0"/>
        <v>0.16676874671610226</v>
      </c>
      <c r="H18">
        <f t="shared" ref="H18:H49" si="2">(($C$5*$C$5)*F18)/C18</f>
        <v>19.660426834156514</v>
      </c>
    </row>
    <row r="19" spans="1:8">
      <c r="B19" s="16">
        <v>15.2</v>
      </c>
      <c r="C19" s="16">
        <v>7315.2</v>
      </c>
      <c r="D19" s="10">
        <v>6.3</v>
      </c>
      <c r="E19">
        <f t="shared" si="1"/>
        <v>0.99396095545517971</v>
      </c>
      <c r="F19">
        <f t="shared" si="0"/>
        <v>0.21814324139654254</v>
      </c>
      <c r="H19">
        <f t="shared" si="2"/>
        <v>22.502361240535848</v>
      </c>
    </row>
    <row r="20" spans="1:8">
      <c r="B20" s="16">
        <v>18.3</v>
      </c>
      <c r="C20" s="16">
        <v>8229.6</v>
      </c>
      <c r="D20" s="10">
        <v>8</v>
      </c>
      <c r="E20">
        <f t="shared" si="1"/>
        <v>0.99026806874157036</v>
      </c>
      <c r="F20">
        <f t="shared" si="0"/>
        <v>0.27563735581699916</v>
      </c>
      <c r="H20">
        <f t="shared" si="2"/>
        <v>25.273877892840513</v>
      </c>
    </row>
    <row r="21" spans="1:8">
      <c r="B21" s="16">
        <v>21.5</v>
      </c>
      <c r="C21" s="16">
        <v>9144</v>
      </c>
      <c r="D21" s="10">
        <v>10.1</v>
      </c>
      <c r="E21">
        <f t="shared" si="1"/>
        <v>0.98450317997443659</v>
      </c>
      <c r="F21">
        <f t="shared" si="0"/>
        <v>0.34529819899853464</v>
      </c>
      <c r="H21">
        <f t="shared" si="2"/>
        <v>28.495129199797837</v>
      </c>
    </row>
    <row r="22" spans="1:8">
      <c r="B22" s="16">
        <v>25</v>
      </c>
      <c r="C22" s="16">
        <v>10058.4</v>
      </c>
      <c r="D22" s="10">
        <v>12.3</v>
      </c>
      <c r="E22">
        <f t="shared" si="1"/>
        <v>0.97704557443526363</v>
      </c>
      <c r="F22">
        <f t="shared" si="0"/>
        <v>0.41628079226040121</v>
      </c>
      <c r="H22">
        <f t="shared" si="2"/>
        <v>31.229857642565491</v>
      </c>
    </row>
    <row r="23" spans="1:8">
      <c r="B23" s="16">
        <v>28.8</v>
      </c>
      <c r="C23" s="16">
        <v>10972.8</v>
      </c>
      <c r="D23" s="10">
        <v>14.9</v>
      </c>
      <c r="E23">
        <f t="shared" si="1"/>
        <v>0.9663760793213293</v>
      </c>
      <c r="F23">
        <f t="shared" si="0"/>
        <v>0.49697396102755537</v>
      </c>
      <c r="H23">
        <f t="shared" si="2"/>
        <v>34.176588210536785</v>
      </c>
    </row>
    <row r="24" spans="1:8">
      <c r="B24" s="16">
        <v>32.799999999999997</v>
      </c>
      <c r="C24" s="16">
        <v>11887.199999999999</v>
      </c>
      <c r="D24" s="10">
        <v>17.8</v>
      </c>
      <c r="E24">
        <f t="shared" si="1"/>
        <v>0.9521293927421387</v>
      </c>
      <c r="F24">
        <f t="shared" si="0"/>
        <v>0.58212297015728942</v>
      </c>
      <c r="H24">
        <f t="shared" si="2"/>
        <v>36.95282978576666</v>
      </c>
    </row>
    <row r="25" spans="1:8">
      <c r="B25" s="16">
        <v>37.200000000000003</v>
      </c>
      <c r="C25" s="16">
        <v>12801.6</v>
      </c>
      <c r="D25" s="10">
        <v>21</v>
      </c>
      <c r="E25">
        <f t="shared" si="1"/>
        <v>0.93358042649720174</v>
      </c>
      <c r="F25">
        <f t="shared" si="0"/>
        <v>0.66913060635885824</v>
      </c>
      <c r="H25">
        <f t="shared" si="2"/>
        <v>39.442022524784335</v>
      </c>
    </row>
    <row r="26" spans="1:8">
      <c r="B26" s="16">
        <v>42.2</v>
      </c>
      <c r="C26" s="16">
        <v>13716</v>
      </c>
      <c r="D26" s="10">
        <v>24.8</v>
      </c>
      <c r="E26">
        <f t="shared" si="1"/>
        <v>0.90777747853290869</v>
      </c>
      <c r="F26">
        <f t="shared" si="0"/>
        <v>0.76153830753673668</v>
      </c>
      <c r="H26">
        <f t="shared" si="2"/>
        <v>41.896410169126078</v>
      </c>
    </row>
    <row r="27" spans="1:8">
      <c r="B27" s="16">
        <v>48</v>
      </c>
      <c r="C27" s="16">
        <v>14630.4</v>
      </c>
      <c r="D27" s="10">
        <v>29.4</v>
      </c>
      <c r="E27">
        <f t="shared" si="1"/>
        <v>0.87121381112018947</v>
      </c>
      <c r="F27">
        <f t="shared" si="0"/>
        <v>0.8553642601605066</v>
      </c>
      <c r="H27">
        <f t="shared" si="2"/>
        <v>44.117148556041563</v>
      </c>
    </row>
    <row r="28" spans="1:8">
      <c r="B28" s="16">
        <v>55.8</v>
      </c>
      <c r="C28" s="16">
        <v>15544.8</v>
      </c>
      <c r="D28" s="10">
        <v>35.9</v>
      </c>
      <c r="E28">
        <f t="shared" si="1"/>
        <v>0.81004164044579607</v>
      </c>
      <c r="F28">
        <f t="shared" si="0"/>
        <v>0.94997205152465247</v>
      </c>
      <c r="H28">
        <f t="shared" si="2"/>
        <v>46.114576469746062</v>
      </c>
    </row>
    <row r="29" spans="1:8">
      <c r="A29" s="14" t="s">
        <v>67</v>
      </c>
      <c r="B29" s="17">
        <v>87.7</v>
      </c>
      <c r="C29" s="17">
        <v>12070.08</v>
      </c>
      <c r="D29">
        <v>54</v>
      </c>
      <c r="E29">
        <f t="shared" ref="E29:E49" si="3">COS(RADIANS(D29))</f>
        <v>0.58778525229247314</v>
      </c>
      <c r="F29">
        <f t="shared" si="0"/>
        <v>0.95105651629515364</v>
      </c>
      <c r="H29">
        <f t="shared" si="2"/>
        <v>59.457782995971264</v>
      </c>
    </row>
    <row r="30" spans="1:8">
      <c r="B30" s="17">
        <v>87.4</v>
      </c>
      <c r="C30" s="17">
        <v>12252.96</v>
      </c>
      <c r="D30">
        <v>55.2</v>
      </c>
      <c r="E30">
        <f t="shared" si="3"/>
        <v>0.57071356768443171</v>
      </c>
      <c r="F30">
        <f t="shared" si="0"/>
        <v>0.93728198949189145</v>
      </c>
      <c r="H30">
        <f t="shared" si="2"/>
        <v>57.722055859440069</v>
      </c>
    </row>
    <row r="31" spans="1:8">
      <c r="B31" s="17">
        <v>87.1</v>
      </c>
      <c r="C31" s="17">
        <v>12435.84</v>
      </c>
      <c r="D31">
        <v>56.2</v>
      </c>
      <c r="E31">
        <f t="shared" si="3"/>
        <v>0.55629561550030482</v>
      </c>
      <c r="F31">
        <f t="shared" si="0"/>
        <v>0.92454603361231313</v>
      </c>
      <c r="H31">
        <f t="shared" si="2"/>
        <v>56.100398820139674</v>
      </c>
    </row>
    <row r="32" spans="1:8">
      <c r="B32" s="17">
        <v>86.7</v>
      </c>
      <c r="C32" s="17">
        <v>12618.720000000001</v>
      </c>
      <c r="D32">
        <v>57.2</v>
      </c>
      <c r="E32">
        <f t="shared" si="3"/>
        <v>0.54170821028273985</v>
      </c>
      <c r="F32">
        <f t="shared" si="0"/>
        <v>0.91068366080617713</v>
      </c>
      <c r="H32">
        <f t="shared" si="2"/>
        <v>54.458387213625251</v>
      </c>
    </row>
    <row r="33" spans="2:8">
      <c r="B33" s="17">
        <v>86.3</v>
      </c>
      <c r="C33" s="17">
        <v>12801.6</v>
      </c>
      <c r="D33">
        <v>58.1</v>
      </c>
      <c r="E33">
        <f t="shared" si="3"/>
        <v>0.52843833472234714</v>
      </c>
      <c r="F33">
        <f t="shared" si="0"/>
        <v>0.89725836967432848</v>
      </c>
      <c r="H33">
        <f t="shared" si="2"/>
        <v>52.889054081418685</v>
      </c>
    </row>
    <row r="34" spans="2:8">
      <c r="B34" s="17">
        <v>85.9</v>
      </c>
      <c r="C34" s="17">
        <v>12984.48</v>
      </c>
      <c r="D34">
        <v>58.8</v>
      </c>
      <c r="E34">
        <f t="shared" si="3"/>
        <v>0.51802700937313029</v>
      </c>
      <c r="F34">
        <f t="shared" si="0"/>
        <v>0.88620357923121484</v>
      </c>
      <c r="H34">
        <f t="shared" si="2"/>
        <v>51.501689078436783</v>
      </c>
    </row>
    <row r="35" spans="2:8">
      <c r="B35" s="17">
        <v>85.5</v>
      </c>
      <c r="C35" s="17">
        <v>13167.36</v>
      </c>
      <c r="D35">
        <v>59.6</v>
      </c>
      <c r="E35">
        <f t="shared" si="3"/>
        <v>0.50603376412116374</v>
      </c>
      <c r="F35">
        <f t="shared" si="0"/>
        <v>0.87292207726980953</v>
      </c>
      <c r="H35">
        <f t="shared" si="2"/>
        <v>50.025254027816992</v>
      </c>
    </row>
    <row r="36" spans="2:8">
      <c r="B36" s="17">
        <v>85.1</v>
      </c>
      <c r="C36" s="17">
        <v>13350.24</v>
      </c>
      <c r="D36">
        <v>60.3</v>
      </c>
      <c r="E36">
        <f t="shared" si="3"/>
        <v>0.49545866843240755</v>
      </c>
      <c r="F36">
        <f t="shared" si="0"/>
        <v>0.86074202700394364</v>
      </c>
      <c r="H36">
        <f t="shared" si="2"/>
        <v>48.651526356909883</v>
      </c>
    </row>
    <row r="37" spans="2:8">
      <c r="B37" s="17">
        <v>84.6</v>
      </c>
      <c r="C37" s="17">
        <v>13533.12</v>
      </c>
      <c r="D37">
        <v>61</v>
      </c>
      <c r="E37">
        <f t="shared" si="3"/>
        <v>0.48480962024633711</v>
      </c>
      <c r="F37">
        <f t="shared" si="0"/>
        <v>0.84804809615642607</v>
      </c>
      <c r="H37">
        <f t="shared" si="2"/>
        <v>47.286273018247932</v>
      </c>
    </row>
    <row r="38" spans="2:8">
      <c r="B38" s="17">
        <v>84.2</v>
      </c>
      <c r="C38" s="17">
        <v>13716</v>
      </c>
      <c r="D38">
        <v>61.7</v>
      </c>
      <c r="E38">
        <f t="shared" si="3"/>
        <v>0.47408820904711624</v>
      </c>
      <c r="F38">
        <f t="shared" si="0"/>
        <v>0.83484786326340654</v>
      </c>
      <c r="H38">
        <f t="shared" si="2"/>
        <v>45.929571975491015</v>
      </c>
    </row>
    <row r="39" spans="2:8">
      <c r="B39" s="17">
        <v>83.7</v>
      </c>
      <c r="C39" s="17">
        <v>13898.88</v>
      </c>
      <c r="D39">
        <v>62.3</v>
      </c>
      <c r="E39">
        <f t="shared" si="3"/>
        <v>0.46484204572461979</v>
      </c>
      <c r="F39">
        <f t="shared" si="0"/>
        <v>0.82313636853444205</v>
      </c>
      <c r="H39">
        <f t="shared" si="2"/>
        <v>44.689399585154838</v>
      </c>
    </row>
    <row r="40" spans="2:8">
      <c r="B40" s="17">
        <v>83.1</v>
      </c>
      <c r="C40" s="17">
        <v>14081.76</v>
      </c>
      <c r="D40">
        <v>62.9</v>
      </c>
      <c r="E40">
        <f t="shared" si="3"/>
        <v>0.45554490723351548</v>
      </c>
      <c r="F40">
        <f t="shared" si="0"/>
        <v>0.81106381898932656</v>
      </c>
      <c r="H40">
        <f t="shared" si="2"/>
        <v>43.46209179168585</v>
      </c>
    </row>
    <row r="41" spans="2:8">
      <c r="B41" s="17">
        <v>82.6</v>
      </c>
      <c r="C41" s="17">
        <v>14264.64</v>
      </c>
      <c r="D41">
        <v>63.5</v>
      </c>
      <c r="E41">
        <f t="shared" si="3"/>
        <v>0.44619781310980872</v>
      </c>
      <c r="F41">
        <f t="shared" si="0"/>
        <v>0.79863551004729272</v>
      </c>
      <c r="H41">
        <f t="shared" si="2"/>
        <v>42.247433928024485</v>
      </c>
    </row>
    <row r="42" spans="2:8">
      <c r="B42" s="17">
        <v>82</v>
      </c>
      <c r="C42" s="17">
        <v>14447.52</v>
      </c>
      <c r="D42">
        <v>64.099999999999994</v>
      </c>
      <c r="E42">
        <f t="shared" si="3"/>
        <v>0.43680178836770234</v>
      </c>
      <c r="F42">
        <f t="shared" si="0"/>
        <v>0.78585689317540208</v>
      </c>
      <c r="H42">
        <f t="shared" si="2"/>
        <v>41.045230346692485</v>
      </c>
    </row>
    <row r="43" spans="2:8">
      <c r="B43" s="17">
        <v>81.400000000000006</v>
      </c>
      <c r="C43" s="17">
        <v>14630.4</v>
      </c>
      <c r="D43">
        <v>64.599999999999994</v>
      </c>
      <c r="E43">
        <f t="shared" si="3"/>
        <v>0.4289351334031461</v>
      </c>
      <c r="F43">
        <f t="shared" si="0"/>
        <v>0.77494448870417987</v>
      </c>
      <c r="H43">
        <f t="shared" si="2"/>
        <v>39.969335548848669</v>
      </c>
    </row>
    <row r="44" spans="2:8">
      <c r="B44" s="17">
        <v>80.7</v>
      </c>
      <c r="C44" s="17">
        <v>14813.279999999999</v>
      </c>
      <c r="D44">
        <v>65.2</v>
      </c>
      <c r="E44">
        <f t="shared" si="3"/>
        <v>0.4194520824461771</v>
      </c>
      <c r="F44">
        <f t="shared" si="0"/>
        <v>0.76153830753673668</v>
      </c>
      <c r="H44">
        <f t="shared" si="2"/>
        <v>38.792972378820451</v>
      </c>
    </row>
    <row r="45" spans="2:8">
      <c r="B45" s="17">
        <v>80.099999999999994</v>
      </c>
      <c r="C45" s="17">
        <v>14996.159999999998</v>
      </c>
      <c r="D45">
        <v>65.7</v>
      </c>
      <c r="E45">
        <f t="shared" si="3"/>
        <v>0.41151435860510865</v>
      </c>
      <c r="F45">
        <f t="shared" si="0"/>
        <v>0.75011106963045937</v>
      </c>
      <c r="H45">
        <f t="shared" si="2"/>
        <v>37.744879546585906</v>
      </c>
    </row>
    <row r="46" spans="2:8">
      <c r="B46" s="17">
        <v>79.2</v>
      </c>
      <c r="C46" s="17">
        <v>15179.04</v>
      </c>
      <c r="D46">
        <v>66.2</v>
      </c>
      <c r="E46">
        <f t="shared" si="3"/>
        <v>0.40354529635239</v>
      </c>
      <c r="F46">
        <f t="shared" si="0"/>
        <v>0.7384553406258838</v>
      </c>
      <c r="H46">
        <f t="shared" si="2"/>
        <v>36.710683030933822</v>
      </c>
    </row>
    <row r="47" spans="2:8">
      <c r="B47" s="17">
        <v>78.400000000000006</v>
      </c>
      <c r="C47" s="17">
        <v>15361.92</v>
      </c>
      <c r="D47">
        <v>66.7</v>
      </c>
      <c r="E47">
        <f t="shared" si="3"/>
        <v>0.395545502562965</v>
      </c>
      <c r="F47">
        <f t="shared" si="0"/>
        <v>0.72657467097097594</v>
      </c>
      <c r="H47">
        <f t="shared" si="2"/>
        <v>35.690060936332102</v>
      </c>
    </row>
    <row r="48" spans="2:8">
      <c r="B48" s="17">
        <v>77.400000000000006</v>
      </c>
      <c r="C48" s="17">
        <v>15544.8</v>
      </c>
      <c r="D48">
        <v>67.2</v>
      </c>
      <c r="E48">
        <f t="shared" si="3"/>
        <v>0.38751558645210293</v>
      </c>
      <c r="F48">
        <f t="shared" si="0"/>
        <v>0.71447267963280325</v>
      </c>
      <c r="H48">
        <f t="shared" si="2"/>
        <v>34.682709841402392</v>
      </c>
    </row>
    <row r="49" spans="2:8">
      <c r="B49" s="17">
        <v>76.2</v>
      </c>
      <c r="C49" s="17">
        <v>15727.679999999998</v>
      </c>
      <c r="D49">
        <v>67.8</v>
      </c>
      <c r="E49">
        <f t="shared" si="3"/>
        <v>0.37784078681846728</v>
      </c>
      <c r="F49">
        <f t="shared" si="0"/>
        <v>0.69966334051336565</v>
      </c>
      <c r="H49">
        <f t="shared" si="2"/>
        <v>33.56889067039635</v>
      </c>
    </row>
  </sheetData>
  <sortState ref="B29:E49">
    <sortCondition ref="D29:D49"/>
  </sortState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M18"/>
  <sheetViews>
    <sheetView workbookViewId="0">
      <selection activeCell="J29" sqref="J29"/>
    </sheetView>
  </sheetViews>
  <sheetFormatPr defaultRowHeight="15"/>
  <sheetData>
    <row r="18" spans="13:13">
      <c r="M18" s="7" t="s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LOW</vt:lpstr>
      <vt:lpstr>HIGHT</vt:lpstr>
      <vt:lpstr>convert</vt:lpstr>
      <vt:lpstr>LOW meter</vt:lpstr>
      <vt:lpstr>gerak (low)</vt:lpstr>
      <vt:lpstr>gerak (high)</vt:lpstr>
      <vt:lpstr>gabung</vt:lpstr>
      <vt:lpstr>flow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CONDIX</dc:creator>
  <cp:lastModifiedBy>AAA</cp:lastModifiedBy>
  <dcterms:created xsi:type="dcterms:W3CDTF">2012-03-28T07:06:12Z</dcterms:created>
  <dcterms:modified xsi:type="dcterms:W3CDTF">2012-05-22T08:33:42Z</dcterms:modified>
</cp:coreProperties>
</file>